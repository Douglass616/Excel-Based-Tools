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hidePivotFieldList="1" defaultThemeVersion="124226"/>
  <bookViews>
    <workbookView xWindow="0" yWindow="312" windowWidth="19140" windowHeight="6588" activeTab="1"/>
  </bookViews>
  <sheets>
    <sheet name="Input Data" sheetId="4" r:id="rId1"/>
    <sheet name="calcs" sheetId="5" r:id="rId2"/>
  </sheets>
  <functionGroups builtInGroupCount="17"/>
  <definedNames>
    <definedName name="failure">OFFSET(calcs!$B$2,0,0,COUNT(calcs!$B$2:$B$103))</definedName>
    <definedName name="survival">OFFSET(calcs!$G$2,0,0,COUNT(calcs!$G$2:$G$103))</definedName>
    <definedName name="x_values">calcs!$F$2:$F$21</definedName>
    <definedName name="y_values">calcs!$E$2:$E$21</definedName>
  </definedNames>
  <calcPr calcId="145621"/>
</workbook>
</file>

<file path=xl/calcChain.xml><?xml version="1.0" encoding="utf-8"?>
<calcChain xmlns="http://schemas.openxmlformats.org/spreadsheetml/2006/main">
  <c r="H3" i="5" l="1"/>
  <c r="H4" i="5"/>
  <c r="H5" i="5"/>
  <c r="H6" i="5"/>
  <c r="H7" i="5"/>
  <c r="H8" i="5"/>
  <c r="H9" i="5"/>
  <c r="H10" i="5"/>
  <c r="H11" i="5"/>
  <c r="H12" i="5"/>
  <c r="H13" i="5"/>
  <c r="H14" i="5"/>
  <c r="H15" i="5"/>
  <c r="H16" i="5"/>
  <c r="H17" i="5"/>
  <c r="H18" i="5"/>
  <c r="H19" i="5"/>
  <c r="H20" i="5"/>
  <c r="H21" i="5"/>
  <c r="G3" i="5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H2" i="5"/>
  <c r="G2" i="5"/>
  <c r="K12" i="5"/>
  <c r="K5" i="5"/>
  <c r="K2" i="5"/>
  <c r="F3" i="5"/>
  <c r="F4" i="5"/>
  <c r="F5" i="5"/>
  <c r="F6" i="5"/>
  <c r="F7" i="5"/>
  <c r="F8" i="5"/>
  <c r="F9" i="5"/>
  <c r="F10" i="5"/>
  <c r="F11" i="5"/>
  <c r="F12" i="5"/>
  <c r="F13" i="5"/>
  <c r="F14" i="5"/>
  <c r="F15" i="5"/>
  <c r="F16" i="5"/>
  <c r="F17" i="5"/>
  <c r="F18" i="5"/>
  <c r="F19" i="5"/>
  <c r="F20" i="5"/>
  <c r="F21" i="5"/>
  <c r="E3" i="5"/>
  <c r="E4" i="5"/>
  <c r="E5" i="5"/>
  <c r="E6" i="5"/>
  <c r="E7" i="5"/>
  <c r="E8" i="5"/>
  <c r="E9" i="5"/>
  <c r="E10" i="5"/>
  <c r="E11" i="5"/>
  <c r="E12" i="5"/>
  <c r="E13" i="5"/>
  <c r="E14" i="5"/>
  <c r="E15" i="5"/>
  <c r="E16" i="5"/>
  <c r="E17" i="5"/>
  <c r="E18" i="5"/>
  <c r="E19" i="5"/>
  <c r="E20" i="5"/>
  <c r="E21" i="5"/>
  <c r="D3" i="5"/>
  <c r="D4" i="5"/>
  <c r="D5" i="5"/>
  <c r="D6" i="5"/>
  <c r="D7" i="5"/>
  <c r="D8" i="5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A3" i="5"/>
  <c r="A4" i="5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F2" i="5"/>
  <c r="E2" i="5"/>
  <c r="D2" i="5"/>
  <c r="C2" i="5"/>
  <c r="A2" i="5"/>
</calcChain>
</file>

<file path=xl/sharedStrings.xml><?xml version="1.0" encoding="utf-8"?>
<sst xmlns="http://schemas.openxmlformats.org/spreadsheetml/2006/main" count="21" uniqueCount="19">
  <si>
    <t>Equipment Name :</t>
  </si>
  <si>
    <t>Failure Duration Unit :</t>
  </si>
  <si>
    <t>Rank</t>
  </si>
  <si>
    <t>Failure data</t>
  </si>
  <si>
    <t>Median Rank</t>
  </si>
  <si>
    <t>1/(Median Rank)</t>
  </si>
  <si>
    <t>ln(ln(1/(1-Median Rank))).</t>
  </si>
  <si>
    <t>ln(Design A Cycles)</t>
  </si>
  <si>
    <t>Beta (Shape Parameter)</t>
  </si>
  <si>
    <t>Alpha (Characteristic Life)</t>
  </si>
  <si>
    <t>Sample Size</t>
  </si>
  <si>
    <t xml:space="preserve">Reliability at : </t>
  </si>
  <si>
    <t xml:space="preserve">Unit of Cycle </t>
  </si>
  <si>
    <t>% Running at input Value</t>
  </si>
  <si>
    <t>Failure Data</t>
  </si>
  <si>
    <t>Survival Probability</t>
  </si>
  <si>
    <t>Reliability Probability</t>
  </si>
  <si>
    <t xml:space="preserve">pump </t>
  </si>
  <si>
    <t>run hrs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</si>
</sst>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1" fillId="0" borderId="0" xfId="0" applyNumberFormat="1" applyFont="1" applyAlignment="1" applyProtection="1">
      <alignment horizontal="center"/>
    </xf>
    <xf numFmtId="0" fontId="0" fillId="0" borderId="0" xfId="0" applyNumberFormat="1" applyAlignment="1" applyProtection="1">
      <alignment horizontal="center"/>
    </xf>
    <xf numFmtId="0" fontId="1" fillId="0" borderId="0" xfId="0" applyFont="1" applyAlignment="1" applyProtection="1">
      <alignment horizontal="center"/>
    </xf>
    <xf numFmtId="0" fontId="0" fillId="0" borderId="0" xfId="0" applyAlignment="1" applyProtection="1">
      <alignment horizontal="center"/>
    </xf>
    <xf numFmtId="164" fontId="0" fillId="0" borderId="0" xfId="0" applyNumberFormat="1" applyAlignment="1" applyProtection="1">
      <alignment horizontal="center"/>
    </xf>
    <xf numFmtId="164" fontId="1" fillId="0" borderId="0" xfId="0" applyNumberFormat="1" applyFont="1" applyAlignment="1" applyProtection="1">
      <alignment horizontal="center"/>
    </xf>
    <xf numFmtId="164" fontId="0" fillId="0" borderId="0" xfId="0" applyNumberFormat="1" applyProtection="1">
      <protection locked="0"/>
    </xf>
    <xf numFmtId="0" fontId="0" fillId="0" borderId="1" xfId="0" applyBorder="1" applyProtection="1">
      <protection locked="0"/>
    </xf>
    <xf numFmtId="0" fontId="0" fillId="0" borderId="0" xfId="0" applyNumberFormat="1" applyProtection="1">
      <protection locked="0"/>
    </xf>
    <xf numFmtId="0" fontId="0" fillId="0" borderId="1" xfId="0" applyNumberFormat="1" applyBorder="1" applyProtection="1">
      <protection locked="0"/>
    </xf>
    <xf numFmtId="0" fontId="0" fillId="0" borderId="4" xfId="0" applyNumberFormat="1" applyBorder="1" applyAlignment="1" applyProtection="1">
      <alignment horizontal="center"/>
      <protection locked="0"/>
    </xf>
    <xf numFmtId="0" fontId="0" fillId="0" borderId="2" xfId="0" applyNumberFormat="1" applyBorder="1" applyProtection="1">
      <protection locked="0"/>
    </xf>
    <xf numFmtId="0" fontId="0" fillId="0" borderId="3" xfId="0" applyNumberFormat="1" applyBorder="1" applyProtection="1">
      <protection locked="0"/>
    </xf>
    <xf numFmtId="3" fontId="0" fillId="0" borderId="4" xfId="0" applyNumberFormat="1" applyBorder="1" applyAlignment="1" applyProtection="1">
      <alignment horizont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5707712922768067E-2"/>
          <c:y val="0.13522014149500147"/>
          <c:w val="0.85452299292784883"/>
          <c:h val="0.76544737022860243"/>
        </c:manualLayout>
      </c:layout>
      <c:scatterChart>
        <c:scatterStyle val="lineMarker"/>
        <c:varyColors val="0"/>
        <c:ser>
          <c:idx val="1"/>
          <c:order val="0"/>
          <c:spPr>
            <a:ln>
              <a:noFill/>
            </a:ln>
          </c:spPr>
          <c:marker>
            <c:symbol val="square"/>
            <c:size val="2"/>
            <c:spPr>
              <a:noFill/>
            </c:spPr>
          </c:marker>
          <c:trendline>
            <c:trendlineType val="linear"/>
            <c:dispRSqr val="0"/>
            <c:dispEq val="0"/>
          </c:trendline>
          <c:xVal>
            <c:numRef>
              <c:f>[0]!failure</c:f>
              <c:numCache>
                <c:formatCode>General</c:formatCode>
                <c:ptCount val="20"/>
                <c:pt idx="0">
                  <c:v>726044</c:v>
                </c:pt>
                <c:pt idx="1">
                  <c:v>615432</c:v>
                </c:pt>
                <c:pt idx="2">
                  <c:v>508077</c:v>
                </c:pt>
                <c:pt idx="3">
                  <c:v>807863</c:v>
                </c:pt>
                <c:pt idx="4">
                  <c:v>755223</c:v>
                </c:pt>
                <c:pt idx="5">
                  <c:v>848953</c:v>
                </c:pt>
                <c:pt idx="6">
                  <c:v>384558</c:v>
                </c:pt>
                <c:pt idx="7">
                  <c:v>666686</c:v>
                </c:pt>
                <c:pt idx="8">
                  <c:v>515201</c:v>
                </c:pt>
                <c:pt idx="9">
                  <c:v>483331</c:v>
                </c:pt>
                <c:pt idx="10">
                  <c:v>529082</c:v>
                </c:pt>
                <c:pt idx="11">
                  <c:v>729957</c:v>
                </c:pt>
                <c:pt idx="12">
                  <c:v>650570</c:v>
                </c:pt>
                <c:pt idx="13">
                  <c:v>445834</c:v>
                </c:pt>
                <c:pt idx="14">
                  <c:v>343280</c:v>
                </c:pt>
                <c:pt idx="15">
                  <c:v>959903</c:v>
                </c:pt>
                <c:pt idx="16">
                  <c:v>730049</c:v>
                </c:pt>
                <c:pt idx="17">
                  <c:v>730640</c:v>
                </c:pt>
                <c:pt idx="18">
                  <c:v>973224</c:v>
                </c:pt>
                <c:pt idx="19">
                  <c:v>258006</c:v>
                </c:pt>
              </c:numCache>
            </c:numRef>
          </c:xVal>
          <c:yVal>
            <c:numRef>
              <c:f>[0]!survival</c:f>
              <c:numCache>
                <c:formatCode>General</c:formatCode>
                <c:ptCount val="20"/>
                <c:pt idx="0">
                  <c:v>0.66516706529529102</c:v>
                </c:pt>
                <c:pt idx="1">
                  <c:v>0.46737531054956727</c:v>
                </c:pt>
                <c:pt idx="2">
                  <c:v>0.28256056347508818</c:v>
                </c:pt>
                <c:pt idx="3">
                  <c:v>0.79049938877825443</c:v>
                </c:pt>
                <c:pt idx="4">
                  <c:v>0.71292987695754473</c:v>
                </c:pt>
                <c:pt idx="5">
                  <c:v>0.84193308941055633</c:v>
                </c:pt>
                <c:pt idx="6">
                  <c:v>0.12275552106773571</c:v>
                </c:pt>
                <c:pt idx="7">
                  <c:v>0.56083819033242954</c:v>
                </c:pt>
                <c:pt idx="8">
                  <c:v>0.29381332690984197</c:v>
                </c:pt>
                <c:pt idx="9">
                  <c:v>0.24501438161568601</c:v>
                </c:pt>
                <c:pt idx="10">
                  <c:v>0.31626262205843009</c:v>
                </c:pt>
                <c:pt idx="11">
                  <c:v>0.67173838162965038</c:v>
                </c:pt>
                <c:pt idx="12">
                  <c:v>0.53153959873605749</c:v>
                </c:pt>
                <c:pt idx="13">
                  <c:v>0.19314332954288199</c:v>
                </c:pt>
                <c:pt idx="14">
                  <c:v>8.5730790694525202E-2</c:v>
                </c:pt>
                <c:pt idx="15">
                  <c:v>0.93798837904704158</c:v>
                </c:pt>
                <c:pt idx="16">
                  <c:v>0.67189230604124006</c:v>
                </c:pt>
                <c:pt idx="17">
                  <c:v>0.67288046286946002</c:v>
                </c:pt>
                <c:pt idx="18">
                  <c:v>0.94560165247852701</c:v>
                </c:pt>
                <c:pt idx="19">
                  <c:v>3.3941553862525009E-2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3204864"/>
        <c:axId val="183218944"/>
      </c:scatterChart>
      <c:valAx>
        <c:axId val="1832048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83218944"/>
        <c:crosses val="autoZero"/>
        <c:crossBetween val="midCat"/>
      </c:valAx>
      <c:valAx>
        <c:axId val="183218944"/>
        <c:scaling>
          <c:orientation val="minMax"/>
          <c:max val="1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3204864"/>
        <c:crosses val="autoZero"/>
        <c:crossBetween val="midCat"/>
      </c:valAx>
    </c:plotArea>
    <c:plotVisOnly val="1"/>
    <c:dispBlanksAs val="gap"/>
    <c:showDLblsOverMax val="0"/>
  </c:chart>
  <c:spPr>
    <a:gradFill flip="none" rotWithShape="1">
      <a:gsLst>
        <a:gs pos="71000">
          <a:schemeClr val="accent1">
            <a:tint val="66000"/>
            <a:satMod val="160000"/>
            <a:alpha val="27000"/>
            <a:lumMod val="32000"/>
            <a:lumOff val="68000"/>
          </a:schemeClr>
        </a:gs>
        <a:gs pos="85000">
          <a:schemeClr val="accent1">
            <a:tint val="44500"/>
            <a:satMod val="160000"/>
          </a:schemeClr>
        </a:gs>
        <a:gs pos="96000">
          <a:schemeClr val="accent1">
            <a:tint val="23500"/>
            <a:satMod val="160000"/>
          </a:schemeClr>
        </a:gs>
      </a:gsLst>
      <a:path path="rect">
        <a:fillToRect l="100000" t="100000"/>
      </a:path>
      <a:tileRect r="-100000" b="-100000"/>
    </a:gradFill>
    <a:ln w="3175">
      <a:solidFill>
        <a:schemeClr val="accent1"/>
      </a:solidFill>
    </a:ln>
  </c:spPr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0</xdr:colOff>
      <xdr:row>0</xdr:row>
      <xdr:rowOff>0</xdr:rowOff>
    </xdr:from>
    <xdr:ext cx="1114857" cy="264560"/>
    <xdr:sp macro="[0]!Clear_entry" textlink="">
      <xdr:nvSpPr>
        <xdr:cNvPr id="2" name="TextBox 1"/>
        <xdr:cNvSpPr txBox="1"/>
      </xdr:nvSpPr>
      <xdr:spPr>
        <a:xfrm>
          <a:off x="6118860" y="137160"/>
          <a:ext cx="1114857" cy="264560"/>
        </a:xfrm>
        <a:prstGeom prst="rect">
          <a:avLst/>
        </a:prstGeom>
        <a:gradFill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5400000" scaled="0"/>
        </a:gradFill>
        <a:ln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GB" sz="1100"/>
            <a:t>Clear</a:t>
          </a:r>
          <a:r>
            <a:rPr lang="en-GB" sz="1100" baseline="0"/>
            <a:t> Entry Area</a:t>
          </a:r>
          <a:endParaRPr lang="en-GB" sz="1100"/>
        </a:p>
      </xdr:txBody>
    </xdr:sp>
    <xdr:clientData/>
  </xdr:oneCellAnchor>
  <xdr:oneCellAnchor>
    <xdr:from>
      <xdr:col>9</xdr:col>
      <xdr:colOff>274320</xdr:colOff>
      <xdr:row>0</xdr:row>
      <xdr:rowOff>0</xdr:rowOff>
    </xdr:from>
    <xdr:ext cx="184731" cy="264560"/>
    <xdr:sp macro="" textlink="">
      <xdr:nvSpPr>
        <xdr:cNvPr id="3" name="TextBox 2"/>
        <xdr:cNvSpPr txBox="1"/>
      </xdr:nvSpPr>
      <xdr:spPr>
        <a:xfrm>
          <a:off x="7703820" y="8686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100"/>
        </a:p>
      </xdr:txBody>
    </xdr:sp>
    <xdr:clientData/>
  </xdr:oneCellAnchor>
  <xdr:oneCellAnchor>
    <xdr:from>
      <xdr:col>8</xdr:col>
      <xdr:colOff>541020</xdr:colOff>
      <xdr:row>0</xdr:row>
      <xdr:rowOff>0</xdr:rowOff>
    </xdr:from>
    <xdr:ext cx="711028" cy="264560"/>
    <xdr:sp macro="[0]!calculate" textlink="">
      <xdr:nvSpPr>
        <xdr:cNvPr id="5" name="TextBox 4"/>
        <xdr:cNvSpPr txBox="1"/>
      </xdr:nvSpPr>
      <xdr:spPr>
        <a:xfrm>
          <a:off x="7360920" y="0"/>
          <a:ext cx="711028" cy="264560"/>
        </a:xfrm>
        <a:prstGeom prst="rect">
          <a:avLst/>
        </a:prstGeom>
        <a:gradFill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5400000" scaled="0"/>
        </a:gradFill>
        <a:ln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GB" sz="1100"/>
            <a:t>Calculate</a:t>
          </a:r>
        </a:p>
      </xdr:txBody>
    </xdr:sp>
    <xdr:clientData/>
  </xdr:oneCellAnchor>
  <xdr:oneCellAnchor>
    <xdr:from>
      <xdr:col>0</xdr:col>
      <xdr:colOff>22860</xdr:colOff>
      <xdr:row>4</xdr:row>
      <xdr:rowOff>121920</xdr:rowOff>
    </xdr:from>
    <xdr:ext cx="1021080" cy="609013"/>
    <xdr:sp macro="[0]!_xludf.convert" textlink="">
      <xdr:nvSpPr>
        <xdr:cNvPr id="4" name="TextBox 3"/>
        <xdr:cNvSpPr txBox="1"/>
      </xdr:nvSpPr>
      <xdr:spPr>
        <a:xfrm>
          <a:off x="22860" y="883920"/>
          <a:ext cx="1021080" cy="609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GB" sz="1100"/>
            <a:t>If Hrs Click to convert to days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5078</xdr:colOff>
      <xdr:row>15</xdr:row>
      <xdr:rowOff>16933</xdr:rowOff>
    </xdr:from>
    <xdr:to>
      <xdr:col>14</xdr:col>
      <xdr:colOff>314112</xdr:colOff>
      <xdr:row>32</xdr:row>
      <xdr:rowOff>53340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11</xdr:col>
      <xdr:colOff>262467</xdr:colOff>
      <xdr:row>15</xdr:row>
      <xdr:rowOff>76199</xdr:rowOff>
    </xdr:from>
    <xdr:ext cx="1232453" cy="264560"/>
    <xdr:sp macro="" textlink="">
      <xdr:nvSpPr>
        <xdr:cNvPr id="3" name="TextBox 2"/>
        <xdr:cNvSpPr txBox="1"/>
      </xdr:nvSpPr>
      <xdr:spPr>
        <a:xfrm>
          <a:off x="7560734" y="2870199"/>
          <a:ext cx="123245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GB" sz="1100"/>
            <a:t>Statistical Anaylsis</a:t>
          </a:r>
        </a:p>
      </xdr:txBody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K1000"/>
  <sheetViews>
    <sheetView zoomScale="70" zoomScaleNormal="70" workbookViewId="0">
      <selection activeCell="I12" sqref="I12"/>
    </sheetView>
  </sheetViews>
  <sheetFormatPr defaultRowHeight="14.4" x14ac:dyDescent="0.3"/>
  <cols>
    <col min="1" max="2" width="8.88671875" style="3"/>
    <col min="3" max="3" width="10.5546875" style="12" bestFit="1" customWidth="1"/>
    <col min="4" max="4" width="31.6640625" style="3" customWidth="1"/>
    <col min="5" max="16384" width="8.88671875" style="3"/>
  </cols>
  <sheetData>
    <row r="1" spans="2:11" ht="15" thickBot="1" x14ac:dyDescent="0.35"/>
    <row r="2" spans="2:11" ht="15" thickBot="1" x14ac:dyDescent="0.35">
      <c r="B2" s="11" t="s">
        <v>0</v>
      </c>
      <c r="C2" s="13"/>
      <c r="D2" s="11" t="s">
        <v>17</v>
      </c>
      <c r="K2" s="10"/>
    </row>
    <row r="3" spans="2:11" ht="15" thickBot="1" x14ac:dyDescent="0.35">
      <c r="K3" s="10"/>
    </row>
    <row r="4" spans="2:11" ht="15" thickBot="1" x14ac:dyDescent="0.35">
      <c r="B4" s="11" t="s">
        <v>1</v>
      </c>
      <c r="C4" s="13"/>
      <c r="D4" s="11" t="s">
        <v>18</v>
      </c>
      <c r="K4" s="10"/>
    </row>
    <row r="5" spans="2:11" ht="15" thickBot="1" x14ac:dyDescent="0.35">
      <c r="K5" s="10"/>
    </row>
    <row r="6" spans="2:11" ht="15" thickBot="1" x14ac:dyDescent="0.35">
      <c r="C6" s="13" t="s">
        <v>3</v>
      </c>
      <c r="K6" s="10"/>
    </row>
    <row r="7" spans="2:11" x14ac:dyDescent="0.3">
      <c r="C7" s="17">
        <v>726044</v>
      </c>
      <c r="K7" s="10"/>
    </row>
    <row r="8" spans="2:11" x14ac:dyDescent="0.3">
      <c r="C8" s="17">
        <v>615432</v>
      </c>
      <c r="K8" s="10"/>
    </row>
    <row r="9" spans="2:11" x14ac:dyDescent="0.3">
      <c r="C9" s="17">
        <v>508077</v>
      </c>
      <c r="K9" s="10"/>
    </row>
    <row r="10" spans="2:11" x14ac:dyDescent="0.3">
      <c r="C10" s="17">
        <v>807863</v>
      </c>
      <c r="K10" s="10"/>
    </row>
    <row r="11" spans="2:11" x14ac:dyDescent="0.3">
      <c r="C11" s="17">
        <v>755223</v>
      </c>
    </row>
    <row r="12" spans="2:11" x14ac:dyDescent="0.3">
      <c r="C12" s="17">
        <v>848953</v>
      </c>
    </row>
    <row r="13" spans="2:11" x14ac:dyDescent="0.3">
      <c r="C13" s="17">
        <v>384558</v>
      </c>
    </row>
    <row r="14" spans="2:11" x14ac:dyDescent="0.3">
      <c r="C14" s="17">
        <v>666686</v>
      </c>
    </row>
    <row r="15" spans="2:11" x14ac:dyDescent="0.3">
      <c r="C15" s="17">
        <v>515201</v>
      </c>
    </row>
    <row r="16" spans="2:11" x14ac:dyDescent="0.3">
      <c r="C16" s="17">
        <v>483331</v>
      </c>
    </row>
    <row r="17" spans="3:3" x14ac:dyDescent="0.3">
      <c r="C17" s="17">
        <v>529082</v>
      </c>
    </row>
    <row r="18" spans="3:3" x14ac:dyDescent="0.3">
      <c r="C18" s="17">
        <v>729957</v>
      </c>
    </row>
    <row r="19" spans="3:3" x14ac:dyDescent="0.3">
      <c r="C19" s="17">
        <v>650570</v>
      </c>
    </row>
    <row r="20" spans="3:3" x14ac:dyDescent="0.3">
      <c r="C20" s="17">
        <v>445834</v>
      </c>
    </row>
    <row r="21" spans="3:3" x14ac:dyDescent="0.3">
      <c r="C21" s="17">
        <v>343280</v>
      </c>
    </row>
    <row r="22" spans="3:3" x14ac:dyDescent="0.3">
      <c r="C22" s="17">
        <v>959903</v>
      </c>
    </row>
    <row r="23" spans="3:3" x14ac:dyDescent="0.3">
      <c r="C23" s="17">
        <v>730049</v>
      </c>
    </row>
    <row r="24" spans="3:3" x14ac:dyDescent="0.3">
      <c r="C24" s="17">
        <v>730640</v>
      </c>
    </row>
    <row r="25" spans="3:3" x14ac:dyDescent="0.3">
      <c r="C25" s="17">
        <v>973224</v>
      </c>
    </row>
    <row r="26" spans="3:3" x14ac:dyDescent="0.3">
      <c r="C26" s="17">
        <v>258006</v>
      </c>
    </row>
    <row r="27" spans="3:3" x14ac:dyDescent="0.3">
      <c r="C27" s="14"/>
    </row>
    <row r="28" spans="3:3" x14ac:dyDescent="0.3">
      <c r="C28" s="14"/>
    </row>
    <row r="29" spans="3:3" x14ac:dyDescent="0.3">
      <c r="C29" s="14"/>
    </row>
    <row r="30" spans="3:3" x14ac:dyDescent="0.3">
      <c r="C30" s="14"/>
    </row>
    <row r="31" spans="3:3" x14ac:dyDescent="0.3">
      <c r="C31" s="14"/>
    </row>
    <row r="32" spans="3:3" x14ac:dyDescent="0.3">
      <c r="C32" s="14"/>
    </row>
    <row r="33" spans="3:3" x14ac:dyDescent="0.3">
      <c r="C33" s="15"/>
    </row>
    <row r="34" spans="3:3" x14ac:dyDescent="0.3">
      <c r="C34" s="15"/>
    </row>
    <row r="35" spans="3:3" x14ac:dyDescent="0.3">
      <c r="C35" s="15"/>
    </row>
    <row r="36" spans="3:3" x14ac:dyDescent="0.3">
      <c r="C36" s="15"/>
    </row>
    <row r="37" spans="3:3" x14ac:dyDescent="0.3">
      <c r="C37" s="15"/>
    </row>
    <row r="38" spans="3:3" x14ac:dyDescent="0.3">
      <c r="C38" s="15"/>
    </row>
    <row r="39" spans="3:3" x14ac:dyDescent="0.3">
      <c r="C39" s="15"/>
    </row>
    <row r="40" spans="3:3" x14ac:dyDescent="0.3">
      <c r="C40" s="15"/>
    </row>
    <row r="41" spans="3:3" x14ac:dyDescent="0.3">
      <c r="C41" s="15"/>
    </row>
    <row r="42" spans="3:3" x14ac:dyDescent="0.3">
      <c r="C42" s="15"/>
    </row>
    <row r="43" spans="3:3" x14ac:dyDescent="0.3">
      <c r="C43" s="15"/>
    </row>
    <row r="44" spans="3:3" x14ac:dyDescent="0.3">
      <c r="C44" s="15"/>
    </row>
    <row r="45" spans="3:3" x14ac:dyDescent="0.3">
      <c r="C45" s="15"/>
    </row>
    <row r="46" spans="3:3" x14ac:dyDescent="0.3">
      <c r="C46" s="15"/>
    </row>
    <row r="47" spans="3:3" x14ac:dyDescent="0.3">
      <c r="C47" s="15"/>
    </row>
    <row r="48" spans="3:3" x14ac:dyDescent="0.3">
      <c r="C48" s="15"/>
    </row>
    <row r="49" spans="3:3" x14ac:dyDescent="0.3">
      <c r="C49" s="15"/>
    </row>
    <row r="50" spans="3:3" x14ac:dyDescent="0.3">
      <c r="C50" s="15"/>
    </row>
    <row r="51" spans="3:3" x14ac:dyDescent="0.3">
      <c r="C51" s="15"/>
    </row>
    <row r="52" spans="3:3" x14ac:dyDescent="0.3">
      <c r="C52" s="15"/>
    </row>
    <row r="53" spans="3:3" x14ac:dyDescent="0.3">
      <c r="C53" s="15"/>
    </row>
    <row r="54" spans="3:3" x14ac:dyDescent="0.3">
      <c r="C54" s="15"/>
    </row>
    <row r="55" spans="3:3" x14ac:dyDescent="0.3">
      <c r="C55" s="15"/>
    </row>
    <row r="56" spans="3:3" x14ac:dyDescent="0.3">
      <c r="C56" s="15"/>
    </row>
    <row r="57" spans="3:3" x14ac:dyDescent="0.3">
      <c r="C57" s="15"/>
    </row>
    <row r="58" spans="3:3" x14ac:dyDescent="0.3">
      <c r="C58" s="15"/>
    </row>
    <row r="59" spans="3:3" x14ac:dyDescent="0.3">
      <c r="C59" s="15"/>
    </row>
    <row r="60" spans="3:3" x14ac:dyDescent="0.3">
      <c r="C60" s="15"/>
    </row>
    <row r="61" spans="3:3" x14ac:dyDescent="0.3">
      <c r="C61" s="15"/>
    </row>
    <row r="62" spans="3:3" x14ac:dyDescent="0.3">
      <c r="C62" s="15"/>
    </row>
    <row r="63" spans="3:3" x14ac:dyDescent="0.3">
      <c r="C63" s="15"/>
    </row>
    <row r="64" spans="3:3" x14ac:dyDescent="0.3">
      <c r="C64" s="15"/>
    </row>
    <row r="65" spans="3:3" x14ac:dyDescent="0.3">
      <c r="C65" s="15"/>
    </row>
    <row r="66" spans="3:3" x14ac:dyDescent="0.3">
      <c r="C66" s="15"/>
    </row>
    <row r="67" spans="3:3" x14ac:dyDescent="0.3">
      <c r="C67" s="15"/>
    </row>
    <row r="68" spans="3:3" x14ac:dyDescent="0.3">
      <c r="C68" s="15"/>
    </row>
    <row r="69" spans="3:3" x14ac:dyDescent="0.3">
      <c r="C69" s="15"/>
    </row>
    <row r="70" spans="3:3" x14ac:dyDescent="0.3">
      <c r="C70" s="15"/>
    </row>
    <row r="71" spans="3:3" x14ac:dyDescent="0.3">
      <c r="C71" s="15"/>
    </row>
    <row r="72" spans="3:3" x14ac:dyDescent="0.3">
      <c r="C72" s="15"/>
    </row>
    <row r="73" spans="3:3" x14ac:dyDescent="0.3">
      <c r="C73" s="15"/>
    </row>
    <row r="74" spans="3:3" x14ac:dyDescent="0.3">
      <c r="C74" s="15"/>
    </row>
    <row r="75" spans="3:3" x14ac:dyDescent="0.3">
      <c r="C75" s="15"/>
    </row>
    <row r="76" spans="3:3" x14ac:dyDescent="0.3">
      <c r="C76" s="15"/>
    </row>
    <row r="77" spans="3:3" x14ac:dyDescent="0.3">
      <c r="C77" s="15"/>
    </row>
    <row r="78" spans="3:3" x14ac:dyDescent="0.3">
      <c r="C78" s="15"/>
    </row>
    <row r="79" spans="3:3" x14ac:dyDescent="0.3">
      <c r="C79" s="15"/>
    </row>
    <row r="80" spans="3:3" x14ac:dyDescent="0.3">
      <c r="C80" s="15"/>
    </row>
    <row r="81" spans="3:3" x14ac:dyDescent="0.3">
      <c r="C81" s="15"/>
    </row>
    <row r="82" spans="3:3" x14ac:dyDescent="0.3">
      <c r="C82" s="15"/>
    </row>
    <row r="83" spans="3:3" x14ac:dyDescent="0.3">
      <c r="C83" s="15"/>
    </row>
    <row r="84" spans="3:3" x14ac:dyDescent="0.3">
      <c r="C84" s="15"/>
    </row>
    <row r="85" spans="3:3" x14ac:dyDescent="0.3">
      <c r="C85" s="15"/>
    </row>
    <row r="86" spans="3:3" x14ac:dyDescent="0.3">
      <c r="C86" s="15"/>
    </row>
    <row r="87" spans="3:3" x14ac:dyDescent="0.3">
      <c r="C87" s="15"/>
    </row>
    <row r="88" spans="3:3" x14ac:dyDescent="0.3">
      <c r="C88" s="15"/>
    </row>
    <row r="89" spans="3:3" x14ac:dyDescent="0.3">
      <c r="C89" s="15"/>
    </row>
    <row r="90" spans="3:3" x14ac:dyDescent="0.3">
      <c r="C90" s="15"/>
    </row>
    <row r="91" spans="3:3" x14ac:dyDescent="0.3">
      <c r="C91" s="15"/>
    </row>
    <row r="92" spans="3:3" x14ac:dyDescent="0.3">
      <c r="C92" s="15"/>
    </row>
    <row r="93" spans="3:3" x14ac:dyDescent="0.3">
      <c r="C93" s="15"/>
    </row>
    <row r="94" spans="3:3" x14ac:dyDescent="0.3">
      <c r="C94" s="15"/>
    </row>
    <row r="95" spans="3:3" x14ac:dyDescent="0.3">
      <c r="C95" s="15"/>
    </row>
    <row r="96" spans="3:3" x14ac:dyDescent="0.3">
      <c r="C96" s="15"/>
    </row>
    <row r="97" spans="3:3" x14ac:dyDescent="0.3">
      <c r="C97" s="15"/>
    </row>
    <row r="98" spans="3:3" x14ac:dyDescent="0.3">
      <c r="C98" s="15"/>
    </row>
    <row r="99" spans="3:3" x14ac:dyDescent="0.3">
      <c r="C99" s="15"/>
    </row>
    <row r="100" spans="3:3" x14ac:dyDescent="0.3">
      <c r="C100" s="15"/>
    </row>
    <row r="101" spans="3:3" x14ac:dyDescent="0.3">
      <c r="C101" s="15"/>
    </row>
    <row r="102" spans="3:3" x14ac:dyDescent="0.3">
      <c r="C102" s="15"/>
    </row>
    <row r="103" spans="3:3" x14ac:dyDescent="0.3">
      <c r="C103" s="15"/>
    </row>
    <row r="104" spans="3:3" x14ac:dyDescent="0.3">
      <c r="C104" s="15"/>
    </row>
    <row r="105" spans="3:3" x14ac:dyDescent="0.3">
      <c r="C105" s="15"/>
    </row>
    <row r="106" spans="3:3" x14ac:dyDescent="0.3">
      <c r="C106" s="15"/>
    </row>
    <row r="107" spans="3:3" x14ac:dyDescent="0.3">
      <c r="C107" s="15"/>
    </row>
    <row r="108" spans="3:3" x14ac:dyDescent="0.3">
      <c r="C108" s="15"/>
    </row>
    <row r="109" spans="3:3" x14ac:dyDescent="0.3">
      <c r="C109" s="15"/>
    </row>
    <row r="110" spans="3:3" x14ac:dyDescent="0.3">
      <c r="C110" s="15"/>
    </row>
    <row r="111" spans="3:3" x14ac:dyDescent="0.3">
      <c r="C111" s="15"/>
    </row>
    <row r="112" spans="3:3" x14ac:dyDescent="0.3">
      <c r="C112" s="15"/>
    </row>
    <row r="113" spans="3:3" x14ac:dyDescent="0.3">
      <c r="C113" s="15"/>
    </row>
    <row r="114" spans="3:3" x14ac:dyDescent="0.3">
      <c r="C114" s="15"/>
    </row>
    <row r="115" spans="3:3" x14ac:dyDescent="0.3">
      <c r="C115" s="15"/>
    </row>
    <row r="116" spans="3:3" x14ac:dyDescent="0.3">
      <c r="C116" s="15"/>
    </row>
    <row r="117" spans="3:3" x14ac:dyDescent="0.3">
      <c r="C117" s="15"/>
    </row>
    <row r="118" spans="3:3" x14ac:dyDescent="0.3">
      <c r="C118" s="15"/>
    </row>
    <row r="119" spans="3:3" x14ac:dyDescent="0.3">
      <c r="C119" s="15"/>
    </row>
    <row r="120" spans="3:3" x14ac:dyDescent="0.3">
      <c r="C120" s="15"/>
    </row>
    <row r="121" spans="3:3" x14ac:dyDescent="0.3">
      <c r="C121" s="15"/>
    </row>
    <row r="122" spans="3:3" x14ac:dyDescent="0.3">
      <c r="C122" s="15"/>
    </row>
    <row r="123" spans="3:3" x14ac:dyDescent="0.3">
      <c r="C123" s="15"/>
    </row>
    <row r="124" spans="3:3" x14ac:dyDescent="0.3">
      <c r="C124" s="15"/>
    </row>
    <row r="125" spans="3:3" x14ac:dyDescent="0.3">
      <c r="C125" s="15"/>
    </row>
    <row r="126" spans="3:3" x14ac:dyDescent="0.3">
      <c r="C126" s="15"/>
    </row>
    <row r="127" spans="3:3" x14ac:dyDescent="0.3">
      <c r="C127" s="15"/>
    </row>
    <row r="128" spans="3:3" x14ac:dyDescent="0.3">
      <c r="C128" s="15"/>
    </row>
    <row r="129" spans="3:3" x14ac:dyDescent="0.3">
      <c r="C129" s="15"/>
    </row>
    <row r="130" spans="3:3" x14ac:dyDescent="0.3">
      <c r="C130" s="15"/>
    </row>
    <row r="131" spans="3:3" x14ac:dyDescent="0.3">
      <c r="C131" s="15"/>
    </row>
    <row r="132" spans="3:3" x14ac:dyDescent="0.3">
      <c r="C132" s="15"/>
    </row>
    <row r="133" spans="3:3" x14ac:dyDescent="0.3">
      <c r="C133" s="15"/>
    </row>
    <row r="134" spans="3:3" x14ac:dyDescent="0.3">
      <c r="C134" s="15"/>
    </row>
    <row r="135" spans="3:3" x14ac:dyDescent="0.3">
      <c r="C135" s="15"/>
    </row>
    <row r="136" spans="3:3" x14ac:dyDescent="0.3">
      <c r="C136" s="15"/>
    </row>
    <row r="137" spans="3:3" x14ac:dyDescent="0.3">
      <c r="C137" s="15"/>
    </row>
    <row r="138" spans="3:3" x14ac:dyDescent="0.3">
      <c r="C138" s="15"/>
    </row>
    <row r="139" spans="3:3" x14ac:dyDescent="0.3">
      <c r="C139" s="15"/>
    </row>
    <row r="140" spans="3:3" x14ac:dyDescent="0.3">
      <c r="C140" s="15"/>
    </row>
    <row r="141" spans="3:3" x14ac:dyDescent="0.3">
      <c r="C141" s="15"/>
    </row>
    <row r="142" spans="3:3" x14ac:dyDescent="0.3">
      <c r="C142" s="15"/>
    </row>
    <row r="143" spans="3:3" x14ac:dyDescent="0.3">
      <c r="C143" s="15"/>
    </row>
    <row r="144" spans="3:3" x14ac:dyDescent="0.3">
      <c r="C144" s="15"/>
    </row>
    <row r="145" spans="3:3" x14ac:dyDescent="0.3">
      <c r="C145" s="15"/>
    </row>
    <row r="146" spans="3:3" x14ac:dyDescent="0.3">
      <c r="C146" s="15"/>
    </row>
    <row r="147" spans="3:3" x14ac:dyDescent="0.3">
      <c r="C147" s="15"/>
    </row>
    <row r="148" spans="3:3" x14ac:dyDescent="0.3">
      <c r="C148" s="15"/>
    </row>
    <row r="149" spans="3:3" x14ac:dyDescent="0.3">
      <c r="C149" s="15"/>
    </row>
    <row r="150" spans="3:3" x14ac:dyDescent="0.3">
      <c r="C150" s="15"/>
    </row>
    <row r="151" spans="3:3" x14ac:dyDescent="0.3">
      <c r="C151" s="15"/>
    </row>
    <row r="152" spans="3:3" x14ac:dyDescent="0.3">
      <c r="C152" s="15"/>
    </row>
    <row r="153" spans="3:3" x14ac:dyDescent="0.3">
      <c r="C153" s="15"/>
    </row>
    <row r="154" spans="3:3" x14ac:dyDescent="0.3">
      <c r="C154" s="15"/>
    </row>
    <row r="155" spans="3:3" x14ac:dyDescent="0.3">
      <c r="C155" s="15"/>
    </row>
    <row r="156" spans="3:3" x14ac:dyDescent="0.3">
      <c r="C156" s="15"/>
    </row>
    <row r="157" spans="3:3" x14ac:dyDescent="0.3">
      <c r="C157" s="15"/>
    </row>
    <row r="158" spans="3:3" x14ac:dyDescent="0.3">
      <c r="C158" s="15"/>
    </row>
    <row r="159" spans="3:3" x14ac:dyDescent="0.3">
      <c r="C159" s="15"/>
    </row>
    <row r="160" spans="3:3" x14ac:dyDescent="0.3">
      <c r="C160" s="15"/>
    </row>
    <row r="161" spans="3:3" x14ac:dyDescent="0.3">
      <c r="C161" s="15"/>
    </row>
    <row r="162" spans="3:3" x14ac:dyDescent="0.3">
      <c r="C162" s="15"/>
    </row>
    <row r="163" spans="3:3" x14ac:dyDescent="0.3">
      <c r="C163" s="15"/>
    </row>
    <row r="164" spans="3:3" x14ac:dyDescent="0.3">
      <c r="C164" s="15"/>
    </row>
    <row r="165" spans="3:3" x14ac:dyDescent="0.3">
      <c r="C165" s="15"/>
    </row>
    <row r="166" spans="3:3" x14ac:dyDescent="0.3">
      <c r="C166" s="15"/>
    </row>
    <row r="167" spans="3:3" x14ac:dyDescent="0.3">
      <c r="C167" s="15"/>
    </row>
    <row r="168" spans="3:3" x14ac:dyDescent="0.3">
      <c r="C168" s="15"/>
    </row>
    <row r="169" spans="3:3" x14ac:dyDescent="0.3">
      <c r="C169" s="15"/>
    </row>
    <row r="170" spans="3:3" x14ac:dyDescent="0.3">
      <c r="C170" s="15"/>
    </row>
    <row r="171" spans="3:3" x14ac:dyDescent="0.3">
      <c r="C171" s="15"/>
    </row>
    <row r="172" spans="3:3" x14ac:dyDescent="0.3">
      <c r="C172" s="15"/>
    </row>
    <row r="173" spans="3:3" x14ac:dyDescent="0.3">
      <c r="C173" s="15"/>
    </row>
    <row r="174" spans="3:3" x14ac:dyDescent="0.3">
      <c r="C174" s="15"/>
    </row>
    <row r="175" spans="3:3" x14ac:dyDescent="0.3">
      <c r="C175" s="15"/>
    </row>
    <row r="176" spans="3:3" x14ac:dyDescent="0.3">
      <c r="C176" s="15"/>
    </row>
    <row r="177" spans="3:3" x14ac:dyDescent="0.3">
      <c r="C177" s="15"/>
    </row>
    <row r="178" spans="3:3" x14ac:dyDescent="0.3">
      <c r="C178" s="15"/>
    </row>
    <row r="179" spans="3:3" x14ac:dyDescent="0.3">
      <c r="C179" s="15"/>
    </row>
    <row r="180" spans="3:3" x14ac:dyDescent="0.3">
      <c r="C180" s="15"/>
    </row>
    <row r="181" spans="3:3" x14ac:dyDescent="0.3">
      <c r="C181" s="15"/>
    </row>
    <row r="182" spans="3:3" x14ac:dyDescent="0.3">
      <c r="C182" s="15"/>
    </row>
    <row r="183" spans="3:3" x14ac:dyDescent="0.3">
      <c r="C183" s="15"/>
    </row>
    <row r="184" spans="3:3" x14ac:dyDescent="0.3">
      <c r="C184" s="15"/>
    </row>
    <row r="185" spans="3:3" x14ac:dyDescent="0.3">
      <c r="C185" s="15"/>
    </row>
    <row r="186" spans="3:3" x14ac:dyDescent="0.3">
      <c r="C186" s="15"/>
    </row>
    <row r="187" spans="3:3" x14ac:dyDescent="0.3">
      <c r="C187" s="15"/>
    </row>
    <row r="188" spans="3:3" x14ac:dyDescent="0.3">
      <c r="C188" s="15"/>
    </row>
    <row r="189" spans="3:3" x14ac:dyDescent="0.3">
      <c r="C189" s="15"/>
    </row>
    <row r="190" spans="3:3" x14ac:dyDescent="0.3">
      <c r="C190" s="15"/>
    </row>
    <row r="191" spans="3:3" x14ac:dyDescent="0.3">
      <c r="C191" s="15"/>
    </row>
    <row r="192" spans="3:3" x14ac:dyDescent="0.3">
      <c r="C192" s="15"/>
    </row>
    <row r="193" spans="3:3" x14ac:dyDescent="0.3">
      <c r="C193" s="15"/>
    </row>
    <row r="194" spans="3:3" x14ac:dyDescent="0.3">
      <c r="C194" s="15"/>
    </row>
    <row r="195" spans="3:3" x14ac:dyDescent="0.3">
      <c r="C195" s="15"/>
    </row>
    <row r="196" spans="3:3" x14ac:dyDescent="0.3">
      <c r="C196" s="15"/>
    </row>
    <row r="197" spans="3:3" x14ac:dyDescent="0.3">
      <c r="C197" s="15"/>
    </row>
    <row r="198" spans="3:3" x14ac:dyDescent="0.3">
      <c r="C198" s="15"/>
    </row>
    <row r="199" spans="3:3" x14ac:dyDescent="0.3">
      <c r="C199" s="15"/>
    </row>
    <row r="200" spans="3:3" x14ac:dyDescent="0.3">
      <c r="C200" s="15"/>
    </row>
    <row r="201" spans="3:3" x14ac:dyDescent="0.3">
      <c r="C201" s="15"/>
    </row>
    <row r="202" spans="3:3" x14ac:dyDescent="0.3">
      <c r="C202" s="15"/>
    </row>
    <row r="203" spans="3:3" x14ac:dyDescent="0.3">
      <c r="C203" s="15"/>
    </row>
    <row r="204" spans="3:3" x14ac:dyDescent="0.3">
      <c r="C204" s="15"/>
    </row>
    <row r="205" spans="3:3" x14ac:dyDescent="0.3">
      <c r="C205" s="15"/>
    </row>
    <row r="206" spans="3:3" x14ac:dyDescent="0.3">
      <c r="C206" s="15"/>
    </row>
    <row r="207" spans="3:3" x14ac:dyDescent="0.3">
      <c r="C207" s="15"/>
    </row>
    <row r="208" spans="3:3" x14ac:dyDescent="0.3">
      <c r="C208" s="15"/>
    </row>
    <row r="209" spans="3:3" x14ac:dyDescent="0.3">
      <c r="C209" s="15"/>
    </row>
    <row r="210" spans="3:3" x14ac:dyDescent="0.3">
      <c r="C210" s="15"/>
    </row>
    <row r="211" spans="3:3" x14ac:dyDescent="0.3">
      <c r="C211" s="15"/>
    </row>
    <row r="212" spans="3:3" x14ac:dyDescent="0.3">
      <c r="C212" s="15"/>
    </row>
    <row r="213" spans="3:3" x14ac:dyDescent="0.3">
      <c r="C213" s="15"/>
    </row>
    <row r="214" spans="3:3" x14ac:dyDescent="0.3">
      <c r="C214" s="15"/>
    </row>
    <row r="215" spans="3:3" x14ac:dyDescent="0.3">
      <c r="C215" s="15"/>
    </row>
    <row r="216" spans="3:3" x14ac:dyDescent="0.3">
      <c r="C216" s="15"/>
    </row>
    <row r="217" spans="3:3" x14ac:dyDescent="0.3">
      <c r="C217" s="15"/>
    </row>
    <row r="218" spans="3:3" x14ac:dyDescent="0.3">
      <c r="C218" s="15"/>
    </row>
    <row r="219" spans="3:3" x14ac:dyDescent="0.3">
      <c r="C219" s="15"/>
    </row>
    <row r="220" spans="3:3" x14ac:dyDescent="0.3">
      <c r="C220" s="15"/>
    </row>
    <row r="221" spans="3:3" x14ac:dyDescent="0.3">
      <c r="C221" s="15"/>
    </row>
    <row r="222" spans="3:3" x14ac:dyDescent="0.3">
      <c r="C222" s="15"/>
    </row>
    <row r="223" spans="3:3" x14ac:dyDescent="0.3">
      <c r="C223" s="15"/>
    </row>
    <row r="224" spans="3:3" x14ac:dyDescent="0.3">
      <c r="C224" s="15"/>
    </row>
    <row r="225" spans="3:3" x14ac:dyDescent="0.3">
      <c r="C225" s="15"/>
    </row>
    <row r="226" spans="3:3" x14ac:dyDescent="0.3">
      <c r="C226" s="15"/>
    </row>
    <row r="227" spans="3:3" x14ac:dyDescent="0.3">
      <c r="C227" s="15"/>
    </row>
    <row r="228" spans="3:3" x14ac:dyDescent="0.3">
      <c r="C228" s="15"/>
    </row>
    <row r="229" spans="3:3" x14ac:dyDescent="0.3">
      <c r="C229" s="15"/>
    </row>
    <row r="230" spans="3:3" x14ac:dyDescent="0.3">
      <c r="C230" s="15"/>
    </row>
    <row r="231" spans="3:3" x14ac:dyDescent="0.3">
      <c r="C231" s="15"/>
    </row>
    <row r="232" spans="3:3" x14ac:dyDescent="0.3">
      <c r="C232" s="15"/>
    </row>
    <row r="233" spans="3:3" x14ac:dyDescent="0.3">
      <c r="C233" s="15"/>
    </row>
    <row r="234" spans="3:3" x14ac:dyDescent="0.3">
      <c r="C234" s="15"/>
    </row>
    <row r="235" spans="3:3" x14ac:dyDescent="0.3">
      <c r="C235" s="15"/>
    </row>
    <row r="236" spans="3:3" x14ac:dyDescent="0.3">
      <c r="C236" s="15"/>
    </row>
    <row r="237" spans="3:3" x14ac:dyDescent="0.3">
      <c r="C237" s="15"/>
    </row>
    <row r="238" spans="3:3" x14ac:dyDescent="0.3">
      <c r="C238" s="15"/>
    </row>
    <row r="239" spans="3:3" x14ac:dyDescent="0.3">
      <c r="C239" s="15"/>
    </row>
    <row r="240" spans="3:3" x14ac:dyDescent="0.3">
      <c r="C240" s="15"/>
    </row>
    <row r="241" spans="3:3" x14ac:dyDescent="0.3">
      <c r="C241" s="15"/>
    </row>
    <row r="242" spans="3:3" x14ac:dyDescent="0.3">
      <c r="C242" s="15"/>
    </row>
    <row r="243" spans="3:3" x14ac:dyDescent="0.3">
      <c r="C243" s="15"/>
    </row>
    <row r="244" spans="3:3" x14ac:dyDescent="0.3">
      <c r="C244" s="15"/>
    </row>
    <row r="245" spans="3:3" x14ac:dyDescent="0.3">
      <c r="C245" s="15"/>
    </row>
    <row r="246" spans="3:3" x14ac:dyDescent="0.3">
      <c r="C246" s="15"/>
    </row>
    <row r="247" spans="3:3" x14ac:dyDescent="0.3">
      <c r="C247" s="15"/>
    </row>
    <row r="248" spans="3:3" x14ac:dyDescent="0.3">
      <c r="C248" s="15"/>
    </row>
    <row r="249" spans="3:3" x14ac:dyDescent="0.3">
      <c r="C249" s="15"/>
    </row>
    <row r="250" spans="3:3" x14ac:dyDescent="0.3">
      <c r="C250" s="15"/>
    </row>
    <row r="251" spans="3:3" x14ac:dyDescent="0.3">
      <c r="C251" s="15"/>
    </row>
    <row r="252" spans="3:3" x14ac:dyDescent="0.3">
      <c r="C252" s="15"/>
    </row>
    <row r="253" spans="3:3" x14ac:dyDescent="0.3">
      <c r="C253" s="15"/>
    </row>
    <row r="254" spans="3:3" x14ac:dyDescent="0.3">
      <c r="C254" s="15"/>
    </row>
    <row r="255" spans="3:3" x14ac:dyDescent="0.3">
      <c r="C255" s="15"/>
    </row>
    <row r="256" spans="3:3" x14ac:dyDescent="0.3">
      <c r="C256" s="15"/>
    </row>
    <row r="257" spans="3:3" x14ac:dyDescent="0.3">
      <c r="C257" s="15"/>
    </row>
    <row r="258" spans="3:3" x14ac:dyDescent="0.3">
      <c r="C258" s="15"/>
    </row>
    <row r="259" spans="3:3" x14ac:dyDescent="0.3">
      <c r="C259" s="15"/>
    </row>
    <row r="260" spans="3:3" x14ac:dyDescent="0.3">
      <c r="C260" s="15"/>
    </row>
    <row r="261" spans="3:3" x14ac:dyDescent="0.3">
      <c r="C261" s="15"/>
    </row>
    <row r="262" spans="3:3" x14ac:dyDescent="0.3">
      <c r="C262" s="15"/>
    </row>
    <row r="263" spans="3:3" x14ac:dyDescent="0.3">
      <c r="C263" s="15"/>
    </row>
    <row r="264" spans="3:3" x14ac:dyDescent="0.3">
      <c r="C264" s="15"/>
    </row>
    <row r="265" spans="3:3" x14ac:dyDescent="0.3">
      <c r="C265" s="15"/>
    </row>
    <row r="266" spans="3:3" x14ac:dyDescent="0.3">
      <c r="C266" s="15"/>
    </row>
    <row r="267" spans="3:3" x14ac:dyDescent="0.3">
      <c r="C267" s="15"/>
    </row>
    <row r="268" spans="3:3" x14ac:dyDescent="0.3">
      <c r="C268" s="15"/>
    </row>
    <row r="269" spans="3:3" x14ac:dyDescent="0.3">
      <c r="C269" s="15"/>
    </row>
    <row r="270" spans="3:3" x14ac:dyDescent="0.3">
      <c r="C270" s="15"/>
    </row>
    <row r="271" spans="3:3" x14ac:dyDescent="0.3">
      <c r="C271" s="15"/>
    </row>
    <row r="272" spans="3:3" x14ac:dyDescent="0.3">
      <c r="C272" s="15"/>
    </row>
    <row r="273" spans="3:3" x14ac:dyDescent="0.3">
      <c r="C273" s="15"/>
    </row>
    <row r="274" spans="3:3" x14ac:dyDescent="0.3">
      <c r="C274" s="15"/>
    </row>
    <row r="275" spans="3:3" x14ac:dyDescent="0.3">
      <c r="C275" s="15"/>
    </row>
    <row r="276" spans="3:3" x14ac:dyDescent="0.3">
      <c r="C276" s="15"/>
    </row>
    <row r="277" spans="3:3" x14ac:dyDescent="0.3">
      <c r="C277" s="15"/>
    </row>
    <row r="278" spans="3:3" x14ac:dyDescent="0.3">
      <c r="C278" s="15"/>
    </row>
    <row r="279" spans="3:3" x14ac:dyDescent="0.3">
      <c r="C279" s="15"/>
    </row>
    <row r="280" spans="3:3" x14ac:dyDescent="0.3">
      <c r="C280" s="15"/>
    </row>
    <row r="281" spans="3:3" x14ac:dyDescent="0.3">
      <c r="C281" s="15"/>
    </row>
    <row r="282" spans="3:3" x14ac:dyDescent="0.3">
      <c r="C282" s="15"/>
    </row>
    <row r="283" spans="3:3" x14ac:dyDescent="0.3">
      <c r="C283" s="15"/>
    </row>
    <row r="284" spans="3:3" x14ac:dyDescent="0.3">
      <c r="C284" s="15"/>
    </row>
    <row r="285" spans="3:3" x14ac:dyDescent="0.3">
      <c r="C285" s="15"/>
    </row>
    <row r="286" spans="3:3" x14ac:dyDescent="0.3">
      <c r="C286" s="15"/>
    </row>
    <row r="287" spans="3:3" x14ac:dyDescent="0.3">
      <c r="C287" s="15"/>
    </row>
    <row r="288" spans="3:3" x14ac:dyDescent="0.3">
      <c r="C288" s="15"/>
    </row>
    <row r="289" spans="3:3" x14ac:dyDescent="0.3">
      <c r="C289" s="15"/>
    </row>
    <row r="290" spans="3:3" x14ac:dyDescent="0.3">
      <c r="C290" s="15"/>
    </row>
    <row r="291" spans="3:3" x14ac:dyDescent="0.3">
      <c r="C291" s="15"/>
    </row>
    <row r="292" spans="3:3" x14ac:dyDescent="0.3">
      <c r="C292" s="15"/>
    </row>
    <row r="293" spans="3:3" x14ac:dyDescent="0.3">
      <c r="C293" s="15"/>
    </row>
    <row r="294" spans="3:3" x14ac:dyDescent="0.3">
      <c r="C294" s="15"/>
    </row>
    <row r="295" spans="3:3" x14ac:dyDescent="0.3">
      <c r="C295" s="15"/>
    </row>
    <row r="296" spans="3:3" x14ac:dyDescent="0.3">
      <c r="C296" s="15"/>
    </row>
    <row r="297" spans="3:3" x14ac:dyDescent="0.3">
      <c r="C297" s="15"/>
    </row>
    <row r="298" spans="3:3" x14ac:dyDescent="0.3">
      <c r="C298" s="15"/>
    </row>
    <row r="299" spans="3:3" x14ac:dyDescent="0.3">
      <c r="C299" s="15"/>
    </row>
    <row r="300" spans="3:3" x14ac:dyDescent="0.3">
      <c r="C300" s="15"/>
    </row>
    <row r="301" spans="3:3" x14ac:dyDescent="0.3">
      <c r="C301" s="15"/>
    </row>
    <row r="302" spans="3:3" x14ac:dyDescent="0.3">
      <c r="C302" s="15"/>
    </row>
    <row r="303" spans="3:3" x14ac:dyDescent="0.3">
      <c r="C303" s="15"/>
    </row>
    <row r="304" spans="3:3" x14ac:dyDescent="0.3">
      <c r="C304" s="15"/>
    </row>
    <row r="305" spans="3:3" x14ac:dyDescent="0.3">
      <c r="C305" s="15"/>
    </row>
    <row r="306" spans="3:3" x14ac:dyDescent="0.3">
      <c r="C306" s="15"/>
    </row>
    <row r="307" spans="3:3" x14ac:dyDescent="0.3">
      <c r="C307" s="15"/>
    </row>
    <row r="308" spans="3:3" x14ac:dyDescent="0.3">
      <c r="C308" s="15"/>
    </row>
    <row r="309" spans="3:3" x14ac:dyDescent="0.3">
      <c r="C309" s="15"/>
    </row>
    <row r="310" spans="3:3" x14ac:dyDescent="0.3">
      <c r="C310" s="15"/>
    </row>
    <row r="311" spans="3:3" x14ac:dyDescent="0.3">
      <c r="C311" s="15"/>
    </row>
    <row r="312" spans="3:3" x14ac:dyDescent="0.3">
      <c r="C312" s="15"/>
    </row>
    <row r="313" spans="3:3" x14ac:dyDescent="0.3">
      <c r="C313" s="15"/>
    </row>
    <row r="314" spans="3:3" x14ac:dyDescent="0.3">
      <c r="C314" s="15"/>
    </row>
    <row r="315" spans="3:3" x14ac:dyDescent="0.3">
      <c r="C315" s="15"/>
    </row>
    <row r="316" spans="3:3" x14ac:dyDescent="0.3">
      <c r="C316" s="15"/>
    </row>
    <row r="317" spans="3:3" x14ac:dyDescent="0.3">
      <c r="C317" s="15"/>
    </row>
    <row r="318" spans="3:3" x14ac:dyDescent="0.3">
      <c r="C318" s="15"/>
    </row>
    <row r="319" spans="3:3" x14ac:dyDescent="0.3">
      <c r="C319" s="15"/>
    </row>
    <row r="320" spans="3:3" x14ac:dyDescent="0.3">
      <c r="C320" s="15"/>
    </row>
    <row r="321" spans="3:3" x14ac:dyDescent="0.3">
      <c r="C321" s="15"/>
    </row>
    <row r="322" spans="3:3" x14ac:dyDescent="0.3">
      <c r="C322" s="15"/>
    </row>
    <row r="323" spans="3:3" x14ac:dyDescent="0.3">
      <c r="C323" s="15"/>
    </row>
    <row r="324" spans="3:3" x14ac:dyDescent="0.3">
      <c r="C324" s="15"/>
    </row>
    <row r="325" spans="3:3" x14ac:dyDescent="0.3">
      <c r="C325" s="15"/>
    </row>
    <row r="326" spans="3:3" x14ac:dyDescent="0.3">
      <c r="C326" s="15"/>
    </row>
    <row r="327" spans="3:3" x14ac:dyDescent="0.3">
      <c r="C327" s="15"/>
    </row>
    <row r="328" spans="3:3" x14ac:dyDescent="0.3">
      <c r="C328" s="15"/>
    </row>
    <row r="329" spans="3:3" x14ac:dyDescent="0.3">
      <c r="C329" s="15"/>
    </row>
    <row r="330" spans="3:3" x14ac:dyDescent="0.3">
      <c r="C330" s="15"/>
    </row>
    <row r="331" spans="3:3" x14ac:dyDescent="0.3">
      <c r="C331" s="15"/>
    </row>
    <row r="332" spans="3:3" x14ac:dyDescent="0.3">
      <c r="C332" s="15"/>
    </row>
    <row r="333" spans="3:3" x14ac:dyDescent="0.3">
      <c r="C333" s="15"/>
    </row>
    <row r="334" spans="3:3" x14ac:dyDescent="0.3">
      <c r="C334" s="15"/>
    </row>
    <row r="335" spans="3:3" x14ac:dyDescent="0.3">
      <c r="C335" s="15"/>
    </row>
    <row r="336" spans="3:3" x14ac:dyDescent="0.3">
      <c r="C336" s="15"/>
    </row>
    <row r="337" spans="3:3" x14ac:dyDescent="0.3">
      <c r="C337" s="15"/>
    </row>
    <row r="338" spans="3:3" x14ac:dyDescent="0.3">
      <c r="C338" s="15"/>
    </row>
    <row r="339" spans="3:3" x14ac:dyDescent="0.3">
      <c r="C339" s="15"/>
    </row>
    <row r="340" spans="3:3" x14ac:dyDescent="0.3">
      <c r="C340" s="15"/>
    </row>
    <row r="341" spans="3:3" x14ac:dyDescent="0.3">
      <c r="C341" s="15"/>
    </row>
    <row r="342" spans="3:3" x14ac:dyDescent="0.3">
      <c r="C342" s="15"/>
    </row>
    <row r="343" spans="3:3" x14ac:dyDescent="0.3">
      <c r="C343" s="15"/>
    </row>
    <row r="344" spans="3:3" x14ac:dyDescent="0.3">
      <c r="C344" s="15"/>
    </row>
    <row r="345" spans="3:3" x14ac:dyDescent="0.3">
      <c r="C345" s="15"/>
    </row>
    <row r="346" spans="3:3" x14ac:dyDescent="0.3">
      <c r="C346" s="15"/>
    </row>
    <row r="347" spans="3:3" x14ac:dyDescent="0.3">
      <c r="C347" s="15"/>
    </row>
    <row r="348" spans="3:3" x14ac:dyDescent="0.3">
      <c r="C348" s="15"/>
    </row>
    <row r="349" spans="3:3" x14ac:dyDescent="0.3">
      <c r="C349" s="15"/>
    </row>
    <row r="350" spans="3:3" x14ac:dyDescent="0.3">
      <c r="C350" s="15"/>
    </row>
    <row r="351" spans="3:3" x14ac:dyDescent="0.3">
      <c r="C351" s="15"/>
    </row>
    <row r="352" spans="3:3" x14ac:dyDescent="0.3">
      <c r="C352" s="15"/>
    </row>
    <row r="353" spans="3:3" x14ac:dyDescent="0.3">
      <c r="C353" s="15"/>
    </row>
    <row r="354" spans="3:3" x14ac:dyDescent="0.3">
      <c r="C354" s="15"/>
    </row>
    <row r="355" spans="3:3" x14ac:dyDescent="0.3">
      <c r="C355" s="15"/>
    </row>
    <row r="356" spans="3:3" x14ac:dyDescent="0.3">
      <c r="C356" s="15"/>
    </row>
    <row r="357" spans="3:3" x14ac:dyDescent="0.3">
      <c r="C357" s="15"/>
    </row>
    <row r="358" spans="3:3" x14ac:dyDescent="0.3">
      <c r="C358" s="15"/>
    </row>
    <row r="359" spans="3:3" x14ac:dyDescent="0.3">
      <c r="C359" s="15"/>
    </row>
    <row r="360" spans="3:3" x14ac:dyDescent="0.3">
      <c r="C360" s="15"/>
    </row>
    <row r="361" spans="3:3" x14ac:dyDescent="0.3">
      <c r="C361" s="15"/>
    </row>
    <row r="362" spans="3:3" x14ac:dyDescent="0.3">
      <c r="C362" s="15"/>
    </row>
    <row r="363" spans="3:3" x14ac:dyDescent="0.3">
      <c r="C363" s="15"/>
    </row>
    <row r="364" spans="3:3" x14ac:dyDescent="0.3">
      <c r="C364" s="15"/>
    </row>
    <row r="365" spans="3:3" x14ac:dyDescent="0.3">
      <c r="C365" s="15"/>
    </row>
    <row r="366" spans="3:3" x14ac:dyDescent="0.3">
      <c r="C366" s="15"/>
    </row>
    <row r="367" spans="3:3" x14ac:dyDescent="0.3">
      <c r="C367" s="15"/>
    </row>
    <row r="368" spans="3:3" x14ac:dyDescent="0.3">
      <c r="C368" s="15"/>
    </row>
    <row r="369" spans="3:3" x14ac:dyDescent="0.3">
      <c r="C369" s="15"/>
    </row>
    <row r="370" spans="3:3" x14ac:dyDescent="0.3">
      <c r="C370" s="15"/>
    </row>
    <row r="371" spans="3:3" x14ac:dyDescent="0.3">
      <c r="C371" s="15"/>
    </row>
    <row r="372" spans="3:3" x14ac:dyDescent="0.3">
      <c r="C372" s="15"/>
    </row>
    <row r="373" spans="3:3" x14ac:dyDescent="0.3">
      <c r="C373" s="15"/>
    </row>
    <row r="374" spans="3:3" x14ac:dyDescent="0.3">
      <c r="C374" s="15"/>
    </row>
    <row r="375" spans="3:3" x14ac:dyDescent="0.3">
      <c r="C375" s="15"/>
    </row>
    <row r="376" spans="3:3" x14ac:dyDescent="0.3">
      <c r="C376" s="15"/>
    </row>
    <row r="377" spans="3:3" x14ac:dyDescent="0.3">
      <c r="C377" s="15"/>
    </row>
    <row r="378" spans="3:3" x14ac:dyDescent="0.3">
      <c r="C378" s="15"/>
    </row>
    <row r="379" spans="3:3" x14ac:dyDescent="0.3">
      <c r="C379" s="15"/>
    </row>
    <row r="380" spans="3:3" x14ac:dyDescent="0.3">
      <c r="C380" s="15"/>
    </row>
    <row r="381" spans="3:3" x14ac:dyDescent="0.3">
      <c r="C381" s="15"/>
    </row>
    <row r="382" spans="3:3" x14ac:dyDescent="0.3">
      <c r="C382" s="15"/>
    </row>
    <row r="383" spans="3:3" x14ac:dyDescent="0.3">
      <c r="C383" s="15"/>
    </row>
    <row r="384" spans="3:3" x14ac:dyDescent="0.3">
      <c r="C384" s="15"/>
    </row>
    <row r="385" spans="3:3" x14ac:dyDescent="0.3">
      <c r="C385" s="15"/>
    </row>
    <row r="386" spans="3:3" x14ac:dyDescent="0.3">
      <c r="C386" s="15"/>
    </row>
    <row r="387" spans="3:3" x14ac:dyDescent="0.3">
      <c r="C387" s="15"/>
    </row>
    <row r="388" spans="3:3" x14ac:dyDescent="0.3">
      <c r="C388" s="15"/>
    </row>
    <row r="389" spans="3:3" x14ac:dyDescent="0.3">
      <c r="C389" s="15"/>
    </row>
    <row r="390" spans="3:3" x14ac:dyDescent="0.3">
      <c r="C390" s="15"/>
    </row>
    <row r="391" spans="3:3" x14ac:dyDescent="0.3">
      <c r="C391" s="15"/>
    </row>
    <row r="392" spans="3:3" x14ac:dyDescent="0.3">
      <c r="C392" s="15"/>
    </row>
    <row r="393" spans="3:3" x14ac:dyDescent="0.3">
      <c r="C393" s="15"/>
    </row>
    <row r="394" spans="3:3" x14ac:dyDescent="0.3">
      <c r="C394" s="15"/>
    </row>
    <row r="395" spans="3:3" x14ac:dyDescent="0.3">
      <c r="C395" s="15"/>
    </row>
    <row r="396" spans="3:3" x14ac:dyDescent="0.3">
      <c r="C396" s="15"/>
    </row>
    <row r="397" spans="3:3" x14ac:dyDescent="0.3">
      <c r="C397" s="15"/>
    </row>
    <row r="398" spans="3:3" x14ac:dyDescent="0.3">
      <c r="C398" s="15"/>
    </row>
    <row r="399" spans="3:3" x14ac:dyDescent="0.3">
      <c r="C399" s="15"/>
    </row>
    <row r="400" spans="3:3" x14ac:dyDescent="0.3">
      <c r="C400" s="15"/>
    </row>
    <row r="401" spans="3:3" x14ac:dyDescent="0.3">
      <c r="C401" s="15"/>
    </row>
    <row r="402" spans="3:3" x14ac:dyDescent="0.3">
      <c r="C402" s="15"/>
    </row>
    <row r="403" spans="3:3" x14ac:dyDescent="0.3">
      <c r="C403" s="15"/>
    </row>
    <row r="404" spans="3:3" x14ac:dyDescent="0.3">
      <c r="C404" s="15"/>
    </row>
    <row r="405" spans="3:3" x14ac:dyDescent="0.3">
      <c r="C405" s="15"/>
    </row>
    <row r="406" spans="3:3" x14ac:dyDescent="0.3">
      <c r="C406" s="15"/>
    </row>
    <row r="407" spans="3:3" x14ac:dyDescent="0.3">
      <c r="C407" s="15"/>
    </row>
    <row r="408" spans="3:3" x14ac:dyDescent="0.3">
      <c r="C408" s="15"/>
    </row>
    <row r="409" spans="3:3" x14ac:dyDescent="0.3">
      <c r="C409" s="15"/>
    </row>
    <row r="410" spans="3:3" x14ac:dyDescent="0.3">
      <c r="C410" s="15"/>
    </row>
    <row r="411" spans="3:3" x14ac:dyDescent="0.3">
      <c r="C411" s="15"/>
    </row>
    <row r="412" spans="3:3" x14ac:dyDescent="0.3">
      <c r="C412" s="15"/>
    </row>
    <row r="413" spans="3:3" x14ac:dyDescent="0.3">
      <c r="C413" s="15"/>
    </row>
    <row r="414" spans="3:3" x14ac:dyDescent="0.3">
      <c r="C414" s="15"/>
    </row>
    <row r="415" spans="3:3" x14ac:dyDescent="0.3">
      <c r="C415" s="15"/>
    </row>
    <row r="416" spans="3:3" x14ac:dyDescent="0.3">
      <c r="C416" s="15"/>
    </row>
    <row r="417" spans="3:3" x14ac:dyDescent="0.3">
      <c r="C417" s="15"/>
    </row>
    <row r="418" spans="3:3" x14ac:dyDescent="0.3">
      <c r="C418" s="15"/>
    </row>
    <row r="419" spans="3:3" x14ac:dyDescent="0.3">
      <c r="C419" s="15"/>
    </row>
    <row r="420" spans="3:3" x14ac:dyDescent="0.3">
      <c r="C420" s="15"/>
    </row>
    <row r="421" spans="3:3" x14ac:dyDescent="0.3">
      <c r="C421" s="15"/>
    </row>
    <row r="422" spans="3:3" x14ac:dyDescent="0.3">
      <c r="C422" s="15"/>
    </row>
    <row r="423" spans="3:3" x14ac:dyDescent="0.3">
      <c r="C423" s="15"/>
    </row>
    <row r="424" spans="3:3" x14ac:dyDescent="0.3">
      <c r="C424" s="15"/>
    </row>
    <row r="425" spans="3:3" x14ac:dyDescent="0.3">
      <c r="C425" s="15"/>
    </row>
    <row r="426" spans="3:3" x14ac:dyDescent="0.3">
      <c r="C426" s="15"/>
    </row>
    <row r="427" spans="3:3" x14ac:dyDescent="0.3">
      <c r="C427" s="15"/>
    </row>
    <row r="428" spans="3:3" x14ac:dyDescent="0.3">
      <c r="C428" s="15"/>
    </row>
    <row r="429" spans="3:3" x14ac:dyDescent="0.3">
      <c r="C429" s="15"/>
    </row>
    <row r="430" spans="3:3" x14ac:dyDescent="0.3">
      <c r="C430" s="15"/>
    </row>
    <row r="431" spans="3:3" x14ac:dyDescent="0.3">
      <c r="C431" s="15"/>
    </row>
    <row r="432" spans="3:3" x14ac:dyDescent="0.3">
      <c r="C432" s="15"/>
    </row>
    <row r="433" spans="3:3" x14ac:dyDescent="0.3">
      <c r="C433" s="15"/>
    </row>
    <row r="434" spans="3:3" x14ac:dyDescent="0.3">
      <c r="C434" s="15"/>
    </row>
    <row r="435" spans="3:3" x14ac:dyDescent="0.3">
      <c r="C435" s="15"/>
    </row>
    <row r="436" spans="3:3" x14ac:dyDescent="0.3">
      <c r="C436" s="15"/>
    </row>
    <row r="437" spans="3:3" x14ac:dyDescent="0.3">
      <c r="C437" s="15"/>
    </row>
    <row r="438" spans="3:3" x14ac:dyDescent="0.3">
      <c r="C438" s="15"/>
    </row>
    <row r="439" spans="3:3" x14ac:dyDescent="0.3">
      <c r="C439" s="15"/>
    </row>
    <row r="440" spans="3:3" x14ac:dyDescent="0.3">
      <c r="C440" s="15"/>
    </row>
    <row r="441" spans="3:3" x14ac:dyDescent="0.3">
      <c r="C441" s="15"/>
    </row>
    <row r="442" spans="3:3" x14ac:dyDescent="0.3">
      <c r="C442" s="15"/>
    </row>
    <row r="443" spans="3:3" x14ac:dyDescent="0.3">
      <c r="C443" s="15"/>
    </row>
    <row r="444" spans="3:3" x14ac:dyDescent="0.3">
      <c r="C444" s="15"/>
    </row>
    <row r="445" spans="3:3" x14ac:dyDescent="0.3">
      <c r="C445" s="15"/>
    </row>
    <row r="446" spans="3:3" x14ac:dyDescent="0.3">
      <c r="C446" s="15"/>
    </row>
    <row r="447" spans="3:3" x14ac:dyDescent="0.3">
      <c r="C447" s="15"/>
    </row>
    <row r="448" spans="3:3" x14ac:dyDescent="0.3">
      <c r="C448" s="15"/>
    </row>
    <row r="449" spans="3:3" x14ac:dyDescent="0.3">
      <c r="C449" s="15"/>
    </row>
    <row r="450" spans="3:3" x14ac:dyDescent="0.3">
      <c r="C450" s="15"/>
    </row>
    <row r="451" spans="3:3" x14ac:dyDescent="0.3">
      <c r="C451" s="15"/>
    </row>
    <row r="452" spans="3:3" x14ac:dyDescent="0.3">
      <c r="C452" s="15"/>
    </row>
    <row r="453" spans="3:3" x14ac:dyDescent="0.3">
      <c r="C453" s="15"/>
    </row>
    <row r="454" spans="3:3" x14ac:dyDescent="0.3">
      <c r="C454" s="15"/>
    </row>
    <row r="455" spans="3:3" x14ac:dyDescent="0.3">
      <c r="C455" s="15"/>
    </row>
    <row r="456" spans="3:3" x14ac:dyDescent="0.3">
      <c r="C456" s="15"/>
    </row>
    <row r="457" spans="3:3" x14ac:dyDescent="0.3">
      <c r="C457" s="15"/>
    </row>
    <row r="458" spans="3:3" x14ac:dyDescent="0.3">
      <c r="C458" s="15"/>
    </row>
    <row r="459" spans="3:3" x14ac:dyDescent="0.3">
      <c r="C459" s="15"/>
    </row>
    <row r="460" spans="3:3" x14ac:dyDescent="0.3">
      <c r="C460" s="15"/>
    </row>
    <row r="461" spans="3:3" x14ac:dyDescent="0.3">
      <c r="C461" s="15"/>
    </row>
    <row r="462" spans="3:3" x14ac:dyDescent="0.3">
      <c r="C462" s="15"/>
    </row>
    <row r="463" spans="3:3" x14ac:dyDescent="0.3">
      <c r="C463" s="15"/>
    </row>
    <row r="464" spans="3:3" x14ac:dyDescent="0.3">
      <c r="C464" s="15"/>
    </row>
    <row r="465" spans="3:3" x14ac:dyDescent="0.3">
      <c r="C465" s="15"/>
    </row>
    <row r="466" spans="3:3" x14ac:dyDescent="0.3">
      <c r="C466" s="15"/>
    </row>
    <row r="467" spans="3:3" x14ac:dyDescent="0.3">
      <c r="C467" s="15"/>
    </row>
    <row r="468" spans="3:3" x14ac:dyDescent="0.3">
      <c r="C468" s="15"/>
    </row>
    <row r="469" spans="3:3" x14ac:dyDescent="0.3">
      <c r="C469" s="15"/>
    </row>
    <row r="470" spans="3:3" x14ac:dyDescent="0.3">
      <c r="C470" s="15"/>
    </row>
    <row r="471" spans="3:3" x14ac:dyDescent="0.3">
      <c r="C471" s="15"/>
    </row>
    <row r="472" spans="3:3" x14ac:dyDescent="0.3">
      <c r="C472" s="15"/>
    </row>
    <row r="473" spans="3:3" x14ac:dyDescent="0.3">
      <c r="C473" s="15"/>
    </row>
    <row r="474" spans="3:3" x14ac:dyDescent="0.3">
      <c r="C474" s="15"/>
    </row>
    <row r="475" spans="3:3" x14ac:dyDescent="0.3">
      <c r="C475" s="15"/>
    </row>
    <row r="476" spans="3:3" x14ac:dyDescent="0.3">
      <c r="C476" s="15"/>
    </row>
    <row r="477" spans="3:3" x14ac:dyDescent="0.3">
      <c r="C477" s="15"/>
    </row>
    <row r="478" spans="3:3" x14ac:dyDescent="0.3">
      <c r="C478" s="15"/>
    </row>
    <row r="479" spans="3:3" x14ac:dyDescent="0.3">
      <c r="C479" s="15"/>
    </row>
    <row r="480" spans="3:3" x14ac:dyDescent="0.3">
      <c r="C480" s="15"/>
    </row>
    <row r="481" spans="3:3" x14ac:dyDescent="0.3">
      <c r="C481" s="15"/>
    </row>
    <row r="482" spans="3:3" x14ac:dyDescent="0.3">
      <c r="C482" s="15"/>
    </row>
    <row r="483" spans="3:3" x14ac:dyDescent="0.3">
      <c r="C483" s="15"/>
    </row>
    <row r="484" spans="3:3" x14ac:dyDescent="0.3">
      <c r="C484" s="15"/>
    </row>
    <row r="485" spans="3:3" x14ac:dyDescent="0.3">
      <c r="C485" s="15"/>
    </row>
    <row r="486" spans="3:3" x14ac:dyDescent="0.3">
      <c r="C486" s="15"/>
    </row>
    <row r="487" spans="3:3" x14ac:dyDescent="0.3">
      <c r="C487" s="15"/>
    </row>
    <row r="488" spans="3:3" x14ac:dyDescent="0.3">
      <c r="C488" s="15"/>
    </row>
    <row r="489" spans="3:3" x14ac:dyDescent="0.3">
      <c r="C489" s="15"/>
    </row>
    <row r="490" spans="3:3" x14ac:dyDescent="0.3">
      <c r="C490" s="15"/>
    </row>
    <row r="491" spans="3:3" x14ac:dyDescent="0.3">
      <c r="C491" s="15"/>
    </row>
    <row r="492" spans="3:3" x14ac:dyDescent="0.3">
      <c r="C492" s="15"/>
    </row>
    <row r="493" spans="3:3" x14ac:dyDescent="0.3">
      <c r="C493" s="15"/>
    </row>
    <row r="494" spans="3:3" x14ac:dyDescent="0.3">
      <c r="C494" s="15"/>
    </row>
    <row r="495" spans="3:3" x14ac:dyDescent="0.3">
      <c r="C495" s="15"/>
    </row>
    <row r="496" spans="3:3" x14ac:dyDescent="0.3">
      <c r="C496" s="15"/>
    </row>
    <row r="497" spans="3:3" x14ac:dyDescent="0.3">
      <c r="C497" s="15"/>
    </row>
    <row r="498" spans="3:3" x14ac:dyDescent="0.3">
      <c r="C498" s="15"/>
    </row>
    <row r="499" spans="3:3" x14ac:dyDescent="0.3">
      <c r="C499" s="15"/>
    </row>
    <row r="500" spans="3:3" x14ac:dyDescent="0.3">
      <c r="C500" s="15"/>
    </row>
    <row r="501" spans="3:3" x14ac:dyDescent="0.3">
      <c r="C501" s="15"/>
    </row>
    <row r="502" spans="3:3" x14ac:dyDescent="0.3">
      <c r="C502" s="15"/>
    </row>
    <row r="503" spans="3:3" x14ac:dyDescent="0.3">
      <c r="C503" s="15"/>
    </row>
    <row r="504" spans="3:3" x14ac:dyDescent="0.3">
      <c r="C504" s="15"/>
    </row>
    <row r="505" spans="3:3" x14ac:dyDescent="0.3">
      <c r="C505" s="15"/>
    </row>
    <row r="506" spans="3:3" x14ac:dyDescent="0.3">
      <c r="C506" s="15"/>
    </row>
    <row r="507" spans="3:3" x14ac:dyDescent="0.3">
      <c r="C507" s="15"/>
    </row>
    <row r="508" spans="3:3" x14ac:dyDescent="0.3">
      <c r="C508" s="15"/>
    </row>
    <row r="509" spans="3:3" x14ac:dyDescent="0.3">
      <c r="C509" s="15"/>
    </row>
    <row r="510" spans="3:3" x14ac:dyDescent="0.3">
      <c r="C510" s="15"/>
    </row>
    <row r="511" spans="3:3" x14ac:dyDescent="0.3">
      <c r="C511" s="15"/>
    </row>
    <row r="512" spans="3:3" x14ac:dyDescent="0.3">
      <c r="C512" s="15"/>
    </row>
    <row r="513" spans="3:3" x14ac:dyDescent="0.3">
      <c r="C513" s="15"/>
    </row>
    <row r="514" spans="3:3" x14ac:dyDescent="0.3">
      <c r="C514" s="15"/>
    </row>
    <row r="515" spans="3:3" x14ac:dyDescent="0.3">
      <c r="C515" s="15"/>
    </row>
    <row r="516" spans="3:3" x14ac:dyDescent="0.3">
      <c r="C516" s="15"/>
    </row>
    <row r="517" spans="3:3" x14ac:dyDescent="0.3">
      <c r="C517" s="15"/>
    </row>
    <row r="518" spans="3:3" x14ac:dyDescent="0.3">
      <c r="C518" s="15"/>
    </row>
    <row r="519" spans="3:3" x14ac:dyDescent="0.3">
      <c r="C519" s="15"/>
    </row>
    <row r="520" spans="3:3" x14ac:dyDescent="0.3">
      <c r="C520" s="15"/>
    </row>
    <row r="521" spans="3:3" x14ac:dyDescent="0.3">
      <c r="C521" s="15"/>
    </row>
    <row r="522" spans="3:3" x14ac:dyDescent="0.3">
      <c r="C522" s="15"/>
    </row>
    <row r="523" spans="3:3" x14ac:dyDescent="0.3">
      <c r="C523" s="15"/>
    </row>
    <row r="524" spans="3:3" x14ac:dyDescent="0.3">
      <c r="C524" s="15"/>
    </row>
    <row r="525" spans="3:3" x14ac:dyDescent="0.3">
      <c r="C525" s="15"/>
    </row>
    <row r="526" spans="3:3" x14ac:dyDescent="0.3">
      <c r="C526" s="15"/>
    </row>
    <row r="527" spans="3:3" x14ac:dyDescent="0.3">
      <c r="C527" s="15"/>
    </row>
    <row r="528" spans="3:3" x14ac:dyDescent="0.3">
      <c r="C528" s="15"/>
    </row>
    <row r="529" spans="3:3" x14ac:dyDescent="0.3">
      <c r="C529" s="15"/>
    </row>
    <row r="530" spans="3:3" x14ac:dyDescent="0.3">
      <c r="C530" s="15"/>
    </row>
    <row r="531" spans="3:3" x14ac:dyDescent="0.3">
      <c r="C531" s="15"/>
    </row>
    <row r="532" spans="3:3" x14ac:dyDescent="0.3">
      <c r="C532" s="15"/>
    </row>
    <row r="533" spans="3:3" x14ac:dyDescent="0.3">
      <c r="C533" s="15"/>
    </row>
    <row r="534" spans="3:3" x14ac:dyDescent="0.3">
      <c r="C534" s="15"/>
    </row>
    <row r="535" spans="3:3" x14ac:dyDescent="0.3">
      <c r="C535" s="15"/>
    </row>
    <row r="536" spans="3:3" x14ac:dyDescent="0.3">
      <c r="C536" s="15"/>
    </row>
    <row r="537" spans="3:3" x14ac:dyDescent="0.3">
      <c r="C537" s="15"/>
    </row>
    <row r="538" spans="3:3" x14ac:dyDescent="0.3">
      <c r="C538" s="15"/>
    </row>
    <row r="539" spans="3:3" x14ac:dyDescent="0.3">
      <c r="C539" s="15"/>
    </row>
    <row r="540" spans="3:3" x14ac:dyDescent="0.3">
      <c r="C540" s="15"/>
    </row>
    <row r="541" spans="3:3" x14ac:dyDescent="0.3">
      <c r="C541" s="15"/>
    </row>
    <row r="542" spans="3:3" x14ac:dyDescent="0.3">
      <c r="C542" s="15"/>
    </row>
    <row r="543" spans="3:3" x14ac:dyDescent="0.3">
      <c r="C543" s="15"/>
    </row>
    <row r="544" spans="3:3" x14ac:dyDescent="0.3">
      <c r="C544" s="15"/>
    </row>
    <row r="545" spans="3:3" x14ac:dyDescent="0.3">
      <c r="C545" s="15"/>
    </row>
    <row r="546" spans="3:3" x14ac:dyDescent="0.3">
      <c r="C546" s="15"/>
    </row>
    <row r="547" spans="3:3" x14ac:dyDescent="0.3">
      <c r="C547" s="15"/>
    </row>
    <row r="548" spans="3:3" x14ac:dyDescent="0.3">
      <c r="C548" s="15"/>
    </row>
    <row r="549" spans="3:3" x14ac:dyDescent="0.3">
      <c r="C549" s="15"/>
    </row>
    <row r="550" spans="3:3" x14ac:dyDescent="0.3">
      <c r="C550" s="15"/>
    </row>
    <row r="551" spans="3:3" x14ac:dyDescent="0.3">
      <c r="C551" s="15"/>
    </row>
    <row r="552" spans="3:3" x14ac:dyDescent="0.3">
      <c r="C552" s="15"/>
    </row>
    <row r="553" spans="3:3" x14ac:dyDescent="0.3">
      <c r="C553" s="15"/>
    </row>
    <row r="554" spans="3:3" x14ac:dyDescent="0.3">
      <c r="C554" s="15"/>
    </row>
    <row r="555" spans="3:3" x14ac:dyDescent="0.3">
      <c r="C555" s="15"/>
    </row>
    <row r="556" spans="3:3" x14ac:dyDescent="0.3">
      <c r="C556" s="15"/>
    </row>
    <row r="557" spans="3:3" x14ac:dyDescent="0.3">
      <c r="C557" s="15"/>
    </row>
    <row r="558" spans="3:3" x14ac:dyDescent="0.3">
      <c r="C558" s="15"/>
    </row>
    <row r="559" spans="3:3" x14ac:dyDescent="0.3">
      <c r="C559" s="15"/>
    </row>
    <row r="560" spans="3:3" x14ac:dyDescent="0.3">
      <c r="C560" s="15"/>
    </row>
    <row r="561" spans="3:3" x14ac:dyDescent="0.3">
      <c r="C561" s="15"/>
    </row>
    <row r="562" spans="3:3" x14ac:dyDescent="0.3">
      <c r="C562" s="15"/>
    </row>
    <row r="563" spans="3:3" x14ac:dyDescent="0.3">
      <c r="C563" s="15"/>
    </row>
    <row r="564" spans="3:3" x14ac:dyDescent="0.3">
      <c r="C564" s="15"/>
    </row>
    <row r="565" spans="3:3" x14ac:dyDescent="0.3">
      <c r="C565" s="15"/>
    </row>
    <row r="566" spans="3:3" x14ac:dyDescent="0.3">
      <c r="C566" s="15"/>
    </row>
    <row r="567" spans="3:3" x14ac:dyDescent="0.3">
      <c r="C567" s="15"/>
    </row>
    <row r="568" spans="3:3" x14ac:dyDescent="0.3">
      <c r="C568" s="15"/>
    </row>
    <row r="569" spans="3:3" x14ac:dyDescent="0.3">
      <c r="C569" s="15"/>
    </row>
    <row r="570" spans="3:3" x14ac:dyDescent="0.3">
      <c r="C570" s="15"/>
    </row>
    <row r="571" spans="3:3" x14ac:dyDescent="0.3">
      <c r="C571" s="15"/>
    </row>
    <row r="572" spans="3:3" x14ac:dyDescent="0.3">
      <c r="C572" s="15"/>
    </row>
    <row r="573" spans="3:3" x14ac:dyDescent="0.3">
      <c r="C573" s="15"/>
    </row>
    <row r="574" spans="3:3" x14ac:dyDescent="0.3">
      <c r="C574" s="15"/>
    </row>
    <row r="575" spans="3:3" x14ac:dyDescent="0.3">
      <c r="C575" s="15"/>
    </row>
    <row r="576" spans="3:3" x14ac:dyDescent="0.3">
      <c r="C576" s="15"/>
    </row>
    <row r="577" spans="3:3" x14ac:dyDescent="0.3">
      <c r="C577" s="15"/>
    </row>
    <row r="578" spans="3:3" x14ac:dyDescent="0.3">
      <c r="C578" s="15"/>
    </row>
    <row r="579" spans="3:3" x14ac:dyDescent="0.3">
      <c r="C579" s="15"/>
    </row>
    <row r="580" spans="3:3" x14ac:dyDescent="0.3">
      <c r="C580" s="15"/>
    </row>
    <row r="581" spans="3:3" x14ac:dyDescent="0.3">
      <c r="C581" s="15"/>
    </row>
    <row r="582" spans="3:3" x14ac:dyDescent="0.3">
      <c r="C582" s="15"/>
    </row>
    <row r="583" spans="3:3" x14ac:dyDescent="0.3">
      <c r="C583" s="15"/>
    </row>
    <row r="584" spans="3:3" x14ac:dyDescent="0.3">
      <c r="C584" s="15"/>
    </row>
    <row r="585" spans="3:3" x14ac:dyDescent="0.3">
      <c r="C585" s="15"/>
    </row>
    <row r="586" spans="3:3" x14ac:dyDescent="0.3">
      <c r="C586" s="15"/>
    </row>
    <row r="587" spans="3:3" x14ac:dyDescent="0.3">
      <c r="C587" s="15"/>
    </row>
    <row r="588" spans="3:3" x14ac:dyDescent="0.3">
      <c r="C588" s="15"/>
    </row>
    <row r="589" spans="3:3" x14ac:dyDescent="0.3">
      <c r="C589" s="15"/>
    </row>
    <row r="590" spans="3:3" x14ac:dyDescent="0.3">
      <c r="C590" s="15"/>
    </row>
    <row r="591" spans="3:3" x14ac:dyDescent="0.3">
      <c r="C591" s="15"/>
    </row>
    <row r="592" spans="3:3" x14ac:dyDescent="0.3">
      <c r="C592" s="15"/>
    </row>
    <row r="593" spans="3:3" x14ac:dyDescent="0.3">
      <c r="C593" s="15"/>
    </row>
    <row r="594" spans="3:3" x14ac:dyDescent="0.3">
      <c r="C594" s="15"/>
    </row>
    <row r="595" spans="3:3" x14ac:dyDescent="0.3">
      <c r="C595" s="15"/>
    </row>
    <row r="596" spans="3:3" x14ac:dyDescent="0.3">
      <c r="C596" s="15"/>
    </row>
    <row r="597" spans="3:3" x14ac:dyDescent="0.3">
      <c r="C597" s="15"/>
    </row>
    <row r="598" spans="3:3" x14ac:dyDescent="0.3">
      <c r="C598" s="15"/>
    </row>
    <row r="599" spans="3:3" x14ac:dyDescent="0.3">
      <c r="C599" s="15"/>
    </row>
    <row r="600" spans="3:3" x14ac:dyDescent="0.3">
      <c r="C600" s="15"/>
    </row>
    <row r="601" spans="3:3" x14ac:dyDescent="0.3">
      <c r="C601" s="15"/>
    </row>
    <row r="602" spans="3:3" x14ac:dyDescent="0.3">
      <c r="C602" s="15"/>
    </row>
    <row r="603" spans="3:3" x14ac:dyDescent="0.3">
      <c r="C603" s="15"/>
    </row>
    <row r="604" spans="3:3" x14ac:dyDescent="0.3">
      <c r="C604" s="15"/>
    </row>
    <row r="605" spans="3:3" x14ac:dyDescent="0.3">
      <c r="C605" s="15"/>
    </row>
    <row r="606" spans="3:3" x14ac:dyDescent="0.3">
      <c r="C606" s="15"/>
    </row>
    <row r="607" spans="3:3" x14ac:dyDescent="0.3">
      <c r="C607" s="15"/>
    </row>
    <row r="608" spans="3:3" x14ac:dyDescent="0.3">
      <c r="C608" s="15"/>
    </row>
    <row r="609" spans="3:3" x14ac:dyDescent="0.3">
      <c r="C609" s="15"/>
    </row>
    <row r="610" spans="3:3" x14ac:dyDescent="0.3">
      <c r="C610" s="15"/>
    </row>
    <row r="611" spans="3:3" x14ac:dyDescent="0.3">
      <c r="C611" s="15"/>
    </row>
    <row r="612" spans="3:3" x14ac:dyDescent="0.3">
      <c r="C612" s="15"/>
    </row>
    <row r="613" spans="3:3" x14ac:dyDescent="0.3">
      <c r="C613" s="15"/>
    </row>
    <row r="614" spans="3:3" x14ac:dyDescent="0.3">
      <c r="C614" s="15"/>
    </row>
    <row r="615" spans="3:3" x14ac:dyDescent="0.3">
      <c r="C615" s="15"/>
    </row>
    <row r="616" spans="3:3" x14ac:dyDescent="0.3">
      <c r="C616" s="15"/>
    </row>
    <row r="617" spans="3:3" x14ac:dyDescent="0.3">
      <c r="C617" s="15"/>
    </row>
    <row r="618" spans="3:3" x14ac:dyDescent="0.3">
      <c r="C618" s="15"/>
    </row>
    <row r="619" spans="3:3" x14ac:dyDescent="0.3">
      <c r="C619" s="15"/>
    </row>
    <row r="620" spans="3:3" x14ac:dyDescent="0.3">
      <c r="C620" s="15"/>
    </row>
    <row r="621" spans="3:3" x14ac:dyDescent="0.3">
      <c r="C621" s="15"/>
    </row>
    <row r="622" spans="3:3" x14ac:dyDescent="0.3">
      <c r="C622" s="15"/>
    </row>
    <row r="623" spans="3:3" x14ac:dyDescent="0.3">
      <c r="C623" s="15"/>
    </row>
    <row r="624" spans="3:3" x14ac:dyDescent="0.3">
      <c r="C624" s="15"/>
    </row>
    <row r="625" spans="3:3" x14ac:dyDescent="0.3">
      <c r="C625" s="15"/>
    </row>
    <row r="626" spans="3:3" x14ac:dyDescent="0.3">
      <c r="C626" s="15"/>
    </row>
    <row r="627" spans="3:3" x14ac:dyDescent="0.3">
      <c r="C627" s="15"/>
    </row>
    <row r="628" spans="3:3" x14ac:dyDescent="0.3">
      <c r="C628" s="15"/>
    </row>
    <row r="629" spans="3:3" x14ac:dyDescent="0.3">
      <c r="C629" s="15"/>
    </row>
    <row r="630" spans="3:3" x14ac:dyDescent="0.3">
      <c r="C630" s="15"/>
    </row>
    <row r="631" spans="3:3" x14ac:dyDescent="0.3">
      <c r="C631" s="15"/>
    </row>
    <row r="632" spans="3:3" x14ac:dyDescent="0.3">
      <c r="C632" s="15"/>
    </row>
    <row r="633" spans="3:3" x14ac:dyDescent="0.3">
      <c r="C633" s="15"/>
    </row>
    <row r="634" spans="3:3" x14ac:dyDescent="0.3">
      <c r="C634" s="15"/>
    </row>
    <row r="635" spans="3:3" x14ac:dyDescent="0.3">
      <c r="C635" s="15"/>
    </row>
    <row r="636" spans="3:3" x14ac:dyDescent="0.3">
      <c r="C636" s="15"/>
    </row>
    <row r="637" spans="3:3" x14ac:dyDescent="0.3">
      <c r="C637" s="15"/>
    </row>
    <row r="638" spans="3:3" x14ac:dyDescent="0.3">
      <c r="C638" s="15"/>
    </row>
    <row r="639" spans="3:3" x14ac:dyDescent="0.3">
      <c r="C639" s="15"/>
    </row>
    <row r="640" spans="3:3" x14ac:dyDescent="0.3">
      <c r="C640" s="15"/>
    </row>
    <row r="641" spans="3:3" x14ac:dyDescent="0.3">
      <c r="C641" s="15"/>
    </row>
    <row r="642" spans="3:3" x14ac:dyDescent="0.3">
      <c r="C642" s="15"/>
    </row>
    <row r="643" spans="3:3" x14ac:dyDescent="0.3">
      <c r="C643" s="15"/>
    </row>
    <row r="644" spans="3:3" x14ac:dyDescent="0.3">
      <c r="C644" s="15"/>
    </row>
    <row r="645" spans="3:3" x14ac:dyDescent="0.3">
      <c r="C645" s="15"/>
    </row>
    <row r="646" spans="3:3" x14ac:dyDescent="0.3">
      <c r="C646" s="15"/>
    </row>
    <row r="647" spans="3:3" x14ac:dyDescent="0.3">
      <c r="C647" s="15"/>
    </row>
    <row r="648" spans="3:3" x14ac:dyDescent="0.3">
      <c r="C648" s="15"/>
    </row>
    <row r="649" spans="3:3" x14ac:dyDescent="0.3">
      <c r="C649" s="15"/>
    </row>
    <row r="650" spans="3:3" x14ac:dyDescent="0.3">
      <c r="C650" s="15"/>
    </row>
    <row r="651" spans="3:3" x14ac:dyDescent="0.3">
      <c r="C651" s="15"/>
    </row>
    <row r="652" spans="3:3" x14ac:dyDescent="0.3">
      <c r="C652" s="15"/>
    </row>
    <row r="653" spans="3:3" x14ac:dyDescent="0.3">
      <c r="C653" s="15"/>
    </row>
    <row r="654" spans="3:3" x14ac:dyDescent="0.3">
      <c r="C654" s="15"/>
    </row>
    <row r="655" spans="3:3" x14ac:dyDescent="0.3">
      <c r="C655" s="15"/>
    </row>
    <row r="656" spans="3:3" x14ac:dyDescent="0.3">
      <c r="C656" s="15"/>
    </row>
    <row r="657" spans="3:3" x14ac:dyDescent="0.3">
      <c r="C657" s="15"/>
    </row>
    <row r="658" spans="3:3" x14ac:dyDescent="0.3">
      <c r="C658" s="15"/>
    </row>
    <row r="659" spans="3:3" x14ac:dyDescent="0.3">
      <c r="C659" s="15"/>
    </row>
    <row r="660" spans="3:3" x14ac:dyDescent="0.3">
      <c r="C660" s="15"/>
    </row>
    <row r="661" spans="3:3" x14ac:dyDescent="0.3">
      <c r="C661" s="15"/>
    </row>
    <row r="662" spans="3:3" x14ac:dyDescent="0.3">
      <c r="C662" s="15"/>
    </row>
    <row r="663" spans="3:3" x14ac:dyDescent="0.3">
      <c r="C663" s="15"/>
    </row>
    <row r="664" spans="3:3" x14ac:dyDescent="0.3">
      <c r="C664" s="15"/>
    </row>
    <row r="665" spans="3:3" x14ac:dyDescent="0.3">
      <c r="C665" s="15"/>
    </row>
    <row r="666" spans="3:3" x14ac:dyDescent="0.3">
      <c r="C666" s="15"/>
    </row>
    <row r="667" spans="3:3" x14ac:dyDescent="0.3">
      <c r="C667" s="15"/>
    </row>
    <row r="668" spans="3:3" x14ac:dyDescent="0.3">
      <c r="C668" s="15"/>
    </row>
    <row r="669" spans="3:3" x14ac:dyDescent="0.3">
      <c r="C669" s="15"/>
    </row>
    <row r="670" spans="3:3" x14ac:dyDescent="0.3">
      <c r="C670" s="15"/>
    </row>
    <row r="671" spans="3:3" x14ac:dyDescent="0.3">
      <c r="C671" s="15"/>
    </row>
    <row r="672" spans="3:3" x14ac:dyDescent="0.3">
      <c r="C672" s="15"/>
    </row>
    <row r="673" spans="3:3" x14ac:dyDescent="0.3">
      <c r="C673" s="15"/>
    </row>
    <row r="674" spans="3:3" x14ac:dyDescent="0.3">
      <c r="C674" s="15"/>
    </row>
    <row r="675" spans="3:3" x14ac:dyDescent="0.3">
      <c r="C675" s="15"/>
    </row>
    <row r="676" spans="3:3" x14ac:dyDescent="0.3">
      <c r="C676" s="15"/>
    </row>
    <row r="677" spans="3:3" x14ac:dyDescent="0.3">
      <c r="C677" s="15"/>
    </row>
    <row r="678" spans="3:3" x14ac:dyDescent="0.3">
      <c r="C678" s="15"/>
    </row>
    <row r="679" spans="3:3" x14ac:dyDescent="0.3">
      <c r="C679" s="15"/>
    </row>
    <row r="680" spans="3:3" x14ac:dyDescent="0.3">
      <c r="C680" s="15"/>
    </row>
    <row r="681" spans="3:3" x14ac:dyDescent="0.3">
      <c r="C681" s="15"/>
    </row>
    <row r="682" spans="3:3" x14ac:dyDescent="0.3">
      <c r="C682" s="15"/>
    </row>
    <row r="683" spans="3:3" x14ac:dyDescent="0.3">
      <c r="C683" s="15"/>
    </row>
    <row r="684" spans="3:3" x14ac:dyDescent="0.3">
      <c r="C684" s="15"/>
    </row>
    <row r="685" spans="3:3" x14ac:dyDescent="0.3">
      <c r="C685" s="15"/>
    </row>
    <row r="686" spans="3:3" x14ac:dyDescent="0.3">
      <c r="C686" s="15"/>
    </row>
    <row r="687" spans="3:3" x14ac:dyDescent="0.3">
      <c r="C687" s="15"/>
    </row>
    <row r="688" spans="3:3" x14ac:dyDescent="0.3">
      <c r="C688" s="15"/>
    </row>
    <row r="689" spans="3:3" x14ac:dyDescent="0.3">
      <c r="C689" s="15"/>
    </row>
    <row r="690" spans="3:3" x14ac:dyDescent="0.3">
      <c r="C690" s="15"/>
    </row>
    <row r="691" spans="3:3" x14ac:dyDescent="0.3">
      <c r="C691" s="15"/>
    </row>
    <row r="692" spans="3:3" x14ac:dyDescent="0.3">
      <c r="C692" s="15"/>
    </row>
    <row r="693" spans="3:3" x14ac:dyDescent="0.3">
      <c r="C693" s="15"/>
    </row>
    <row r="694" spans="3:3" x14ac:dyDescent="0.3">
      <c r="C694" s="15"/>
    </row>
    <row r="695" spans="3:3" x14ac:dyDescent="0.3">
      <c r="C695" s="15"/>
    </row>
    <row r="696" spans="3:3" x14ac:dyDescent="0.3">
      <c r="C696" s="15"/>
    </row>
    <row r="697" spans="3:3" x14ac:dyDescent="0.3">
      <c r="C697" s="15"/>
    </row>
    <row r="698" spans="3:3" x14ac:dyDescent="0.3">
      <c r="C698" s="15"/>
    </row>
    <row r="699" spans="3:3" x14ac:dyDescent="0.3">
      <c r="C699" s="15"/>
    </row>
    <row r="700" spans="3:3" x14ac:dyDescent="0.3">
      <c r="C700" s="15"/>
    </row>
    <row r="701" spans="3:3" x14ac:dyDescent="0.3">
      <c r="C701" s="15"/>
    </row>
    <row r="702" spans="3:3" x14ac:dyDescent="0.3">
      <c r="C702" s="15"/>
    </row>
    <row r="703" spans="3:3" x14ac:dyDescent="0.3">
      <c r="C703" s="15"/>
    </row>
    <row r="704" spans="3:3" x14ac:dyDescent="0.3">
      <c r="C704" s="15"/>
    </row>
    <row r="705" spans="3:3" x14ac:dyDescent="0.3">
      <c r="C705" s="15"/>
    </row>
    <row r="706" spans="3:3" x14ac:dyDescent="0.3">
      <c r="C706" s="15"/>
    </row>
    <row r="707" spans="3:3" x14ac:dyDescent="0.3">
      <c r="C707" s="15"/>
    </row>
    <row r="708" spans="3:3" x14ac:dyDescent="0.3">
      <c r="C708" s="15"/>
    </row>
    <row r="709" spans="3:3" x14ac:dyDescent="0.3">
      <c r="C709" s="15"/>
    </row>
    <row r="710" spans="3:3" x14ac:dyDescent="0.3">
      <c r="C710" s="15"/>
    </row>
    <row r="711" spans="3:3" x14ac:dyDescent="0.3">
      <c r="C711" s="15"/>
    </row>
    <row r="712" spans="3:3" x14ac:dyDescent="0.3">
      <c r="C712" s="15"/>
    </row>
    <row r="713" spans="3:3" x14ac:dyDescent="0.3">
      <c r="C713" s="15"/>
    </row>
    <row r="714" spans="3:3" x14ac:dyDescent="0.3">
      <c r="C714" s="15"/>
    </row>
    <row r="715" spans="3:3" x14ac:dyDescent="0.3">
      <c r="C715" s="15"/>
    </row>
    <row r="716" spans="3:3" x14ac:dyDescent="0.3">
      <c r="C716" s="15"/>
    </row>
    <row r="717" spans="3:3" x14ac:dyDescent="0.3">
      <c r="C717" s="15"/>
    </row>
    <row r="718" spans="3:3" x14ac:dyDescent="0.3">
      <c r="C718" s="15"/>
    </row>
    <row r="719" spans="3:3" x14ac:dyDescent="0.3">
      <c r="C719" s="15"/>
    </row>
    <row r="720" spans="3:3" x14ac:dyDescent="0.3">
      <c r="C720" s="15"/>
    </row>
    <row r="721" spans="3:3" x14ac:dyDescent="0.3">
      <c r="C721" s="15"/>
    </row>
    <row r="722" spans="3:3" x14ac:dyDescent="0.3">
      <c r="C722" s="15"/>
    </row>
    <row r="723" spans="3:3" x14ac:dyDescent="0.3">
      <c r="C723" s="15"/>
    </row>
    <row r="724" spans="3:3" x14ac:dyDescent="0.3">
      <c r="C724" s="15"/>
    </row>
    <row r="725" spans="3:3" x14ac:dyDescent="0.3">
      <c r="C725" s="15"/>
    </row>
    <row r="726" spans="3:3" x14ac:dyDescent="0.3">
      <c r="C726" s="15"/>
    </row>
    <row r="727" spans="3:3" x14ac:dyDescent="0.3">
      <c r="C727" s="15"/>
    </row>
    <row r="728" spans="3:3" x14ac:dyDescent="0.3">
      <c r="C728" s="15"/>
    </row>
    <row r="729" spans="3:3" x14ac:dyDescent="0.3">
      <c r="C729" s="15"/>
    </row>
    <row r="730" spans="3:3" x14ac:dyDescent="0.3">
      <c r="C730" s="15"/>
    </row>
    <row r="731" spans="3:3" x14ac:dyDescent="0.3">
      <c r="C731" s="15"/>
    </row>
    <row r="732" spans="3:3" x14ac:dyDescent="0.3">
      <c r="C732" s="15"/>
    </row>
    <row r="733" spans="3:3" x14ac:dyDescent="0.3">
      <c r="C733" s="15"/>
    </row>
    <row r="734" spans="3:3" x14ac:dyDescent="0.3">
      <c r="C734" s="15"/>
    </row>
    <row r="735" spans="3:3" x14ac:dyDescent="0.3">
      <c r="C735" s="15"/>
    </row>
    <row r="736" spans="3:3" x14ac:dyDescent="0.3">
      <c r="C736" s="15"/>
    </row>
    <row r="737" spans="3:3" x14ac:dyDescent="0.3">
      <c r="C737" s="15"/>
    </row>
    <row r="738" spans="3:3" x14ac:dyDescent="0.3">
      <c r="C738" s="15"/>
    </row>
    <row r="739" spans="3:3" x14ac:dyDescent="0.3">
      <c r="C739" s="15"/>
    </row>
    <row r="740" spans="3:3" x14ac:dyDescent="0.3">
      <c r="C740" s="15"/>
    </row>
    <row r="741" spans="3:3" x14ac:dyDescent="0.3">
      <c r="C741" s="15"/>
    </row>
    <row r="742" spans="3:3" x14ac:dyDescent="0.3">
      <c r="C742" s="15"/>
    </row>
    <row r="743" spans="3:3" x14ac:dyDescent="0.3">
      <c r="C743" s="15"/>
    </row>
    <row r="744" spans="3:3" x14ac:dyDescent="0.3">
      <c r="C744" s="15"/>
    </row>
    <row r="745" spans="3:3" x14ac:dyDescent="0.3">
      <c r="C745" s="15"/>
    </row>
    <row r="746" spans="3:3" x14ac:dyDescent="0.3">
      <c r="C746" s="15"/>
    </row>
    <row r="747" spans="3:3" x14ac:dyDescent="0.3">
      <c r="C747" s="15"/>
    </row>
    <row r="748" spans="3:3" x14ac:dyDescent="0.3">
      <c r="C748" s="15"/>
    </row>
    <row r="749" spans="3:3" x14ac:dyDescent="0.3">
      <c r="C749" s="15"/>
    </row>
    <row r="750" spans="3:3" x14ac:dyDescent="0.3">
      <c r="C750" s="15"/>
    </row>
    <row r="751" spans="3:3" x14ac:dyDescent="0.3">
      <c r="C751" s="15"/>
    </row>
    <row r="752" spans="3:3" x14ac:dyDescent="0.3">
      <c r="C752" s="15"/>
    </row>
    <row r="753" spans="3:3" x14ac:dyDescent="0.3">
      <c r="C753" s="15"/>
    </row>
    <row r="754" spans="3:3" x14ac:dyDescent="0.3">
      <c r="C754" s="15"/>
    </row>
    <row r="755" spans="3:3" x14ac:dyDescent="0.3">
      <c r="C755" s="15"/>
    </row>
    <row r="756" spans="3:3" x14ac:dyDescent="0.3">
      <c r="C756" s="15"/>
    </row>
    <row r="757" spans="3:3" x14ac:dyDescent="0.3">
      <c r="C757" s="15"/>
    </row>
    <row r="758" spans="3:3" x14ac:dyDescent="0.3">
      <c r="C758" s="15"/>
    </row>
    <row r="759" spans="3:3" x14ac:dyDescent="0.3">
      <c r="C759" s="15"/>
    </row>
    <row r="760" spans="3:3" x14ac:dyDescent="0.3">
      <c r="C760" s="15"/>
    </row>
    <row r="761" spans="3:3" x14ac:dyDescent="0.3">
      <c r="C761" s="15"/>
    </row>
    <row r="762" spans="3:3" x14ac:dyDescent="0.3">
      <c r="C762" s="15"/>
    </row>
    <row r="763" spans="3:3" x14ac:dyDescent="0.3">
      <c r="C763" s="15"/>
    </row>
    <row r="764" spans="3:3" x14ac:dyDescent="0.3">
      <c r="C764" s="15"/>
    </row>
    <row r="765" spans="3:3" x14ac:dyDescent="0.3">
      <c r="C765" s="15"/>
    </row>
    <row r="766" spans="3:3" x14ac:dyDescent="0.3">
      <c r="C766" s="15"/>
    </row>
    <row r="767" spans="3:3" x14ac:dyDescent="0.3">
      <c r="C767" s="15"/>
    </row>
    <row r="768" spans="3:3" x14ac:dyDescent="0.3">
      <c r="C768" s="15"/>
    </row>
    <row r="769" spans="3:3" x14ac:dyDescent="0.3">
      <c r="C769" s="15"/>
    </row>
    <row r="770" spans="3:3" x14ac:dyDescent="0.3">
      <c r="C770" s="15"/>
    </row>
    <row r="771" spans="3:3" x14ac:dyDescent="0.3">
      <c r="C771" s="15"/>
    </row>
    <row r="772" spans="3:3" x14ac:dyDescent="0.3">
      <c r="C772" s="15"/>
    </row>
    <row r="773" spans="3:3" x14ac:dyDescent="0.3">
      <c r="C773" s="15"/>
    </row>
    <row r="774" spans="3:3" x14ac:dyDescent="0.3">
      <c r="C774" s="15"/>
    </row>
    <row r="775" spans="3:3" x14ac:dyDescent="0.3">
      <c r="C775" s="15"/>
    </row>
    <row r="776" spans="3:3" x14ac:dyDescent="0.3">
      <c r="C776" s="15"/>
    </row>
    <row r="777" spans="3:3" x14ac:dyDescent="0.3">
      <c r="C777" s="15"/>
    </row>
    <row r="778" spans="3:3" x14ac:dyDescent="0.3">
      <c r="C778" s="15"/>
    </row>
    <row r="779" spans="3:3" x14ac:dyDescent="0.3">
      <c r="C779" s="15"/>
    </row>
    <row r="780" spans="3:3" x14ac:dyDescent="0.3">
      <c r="C780" s="15"/>
    </row>
    <row r="781" spans="3:3" x14ac:dyDescent="0.3">
      <c r="C781" s="15"/>
    </row>
    <row r="782" spans="3:3" x14ac:dyDescent="0.3">
      <c r="C782" s="15"/>
    </row>
    <row r="783" spans="3:3" x14ac:dyDescent="0.3">
      <c r="C783" s="15"/>
    </row>
    <row r="784" spans="3:3" x14ac:dyDescent="0.3">
      <c r="C784" s="15"/>
    </row>
    <row r="785" spans="3:3" x14ac:dyDescent="0.3">
      <c r="C785" s="15"/>
    </row>
    <row r="786" spans="3:3" x14ac:dyDescent="0.3">
      <c r="C786" s="15"/>
    </row>
    <row r="787" spans="3:3" x14ac:dyDescent="0.3">
      <c r="C787" s="15"/>
    </row>
    <row r="788" spans="3:3" x14ac:dyDescent="0.3">
      <c r="C788" s="15"/>
    </row>
    <row r="789" spans="3:3" x14ac:dyDescent="0.3">
      <c r="C789" s="15"/>
    </row>
    <row r="790" spans="3:3" x14ac:dyDescent="0.3">
      <c r="C790" s="15"/>
    </row>
    <row r="791" spans="3:3" x14ac:dyDescent="0.3">
      <c r="C791" s="15"/>
    </row>
    <row r="792" spans="3:3" x14ac:dyDescent="0.3">
      <c r="C792" s="15"/>
    </row>
    <row r="793" spans="3:3" x14ac:dyDescent="0.3">
      <c r="C793" s="15"/>
    </row>
    <row r="794" spans="3:3" x14ac:dyDescent="0.3">
      <c r="C794" s="15"/>
    </row>
    <row r="795" spans="3:3" x14ac:dyDescent="0.3">
      <c r="C795" s="15"/>
    </row>
    <row r="796" spans="3:3" x14ac:dyDescent="0.3">
      <c r="C796" s="15"/>
    </row>
    <row r="797" spans="3:3" x14ac:dyDescent="0.3">
      <c r="C797" s="15"/>
    </row>
    <row r="798" spans="3:3" x14ac:dyDescent="0.3">
      <c r="C798" s="15"/>
    </row>
    <row r="799" spans="3:3" x14ac:dyDescent="0.3">
      <c r="C799" s="15"/>
    </row>
    <row r="800" spans="3:3" x14ac:dyDescent="0.3">
      <c r="C800" s="15"/>
    </row>
    <row r="801" spans="3:3" x14ac:dyDescent="0.3">
      <c r="C801" s="15"/>
    </row>
    <row r="802" spans="3:3" x14ac:dyDescent="0.3">
      <c r="C802" s="15"/>
    </row>
    <row r="803" spans="3:3" x14ac:dyDescent="0.3">
      <c r="C803" s="15"/>
    </row>
    <row r="804" spans="3:3" x14ac:dyDescent="0.3">
      <c r="C804" s="15"/>
    </row>
    <row r="805" spans="3:3" x14ac:dyDescent="0.3">
      <c r="C805" s="15"/>
    </row>
    <row r="806" spans="3:3" x14ac:dyDescent="0.3">
      <c r="C806" s="15"/>
    </row>
    <row r="807" spans="3:3" x14ac:dyDescent="0.3">
      <c r="C807" s="15"/>
    </row>
    <row r="808" spans="3:3" x14ac:dyDescent="0.3">
      <c r="C808" s="15"/>
    </row>
    <row r="809" spans="3:3" x14ac:dyDescent="0.3">
      <c r="C809" s="15"/>
    </row>
    <row r="810" spans="3:3" x14ac:dyDescent="0.3">
      <c r="C810" s="15"/>
    </row>
    <row r="811" spans="3:3" x14ac:dyDescent="0.3">
      <c r="C811" s="15"/>
    </row>
    <row r="812" spans="3:3" x14ac:dyDescent="0.3">
      <c r="C812" s="15"/>
    </row>
    <row r="813" spans="3:3" x14ac:dyDescent="0.3">
      <c r="C813" s="15"/>
    </row>
    <row r="814" spans="3:3" x14ac:dyDescent="0.3">
      <c r="C814" s="15"/>
    </row>
    <row r="815" spans="3:3" x14ac:dyDescent="0.3">
      <c r="C815" s="15"/>
    </row>
    <row r="816" spans="3:3" x14ac:dyDescent="0.3">
      <c r="C816" s="15"/>
    </row>
    <row r="817" spans="3:3" x14ac:dyDescent="0.3">
      <c r="C817" s="15"/>
    </row>
    <row r="818" spans="3:3" x14ac:dyDescent="0.3">
      <c r="C818" s="15"/>
    </row>
    <row r="819" spans="3:3" x14ac:dyDescent="0.3">
      <c r="C819" s="15"/>
    </row>
    <row r="820" spans="3:3" x14ac:dyDescent="0.3">
      <c r="C820" s="15"/>
    </row>
    <row r="821" spans="3:3" x14ac:dyDescent="0.3">
      <c r="C821" s="15"/>
    </row>
    <row r="822" spans="3:3" x14ac:dyDescent="0.3">
      <c r="C822" s="15"/>
    </row>
    <row r="823" spans="3:3" x14ac:dyDescent="0.3">
      <c r="C823" s="15"/>
    </row>
    <row r="824" spans="3:3" x14ac:dyDescent="0.3">
      <c r="C824" s="15"/>
    </row>
    <row r="825" spans="3:3" x14ac:dyDescent="0.3">
      <c r="C825" s="15"/>
    </row>
    <row r="826" spans="3:3" x14ac:dyDescent="0.3">
      <c r="C826" s="15"/>
    </row>
    <row r="827" spans="3:3" x14ac:dyDescent="0.3">
      <c r="C827" s="15"/>
    </row>
    <row r="828" spans="3:3" x14ac:dyDescent="0.3">
      <c r="C828" s="15"/>
    </row>
    <row r="829" spans="3:3" x14ac:dyDescent="0.3">
      <c r="C829" s="15"/>
    </row>
    <row r="830" spans="3:3" x14ac:dyDescent="0.3">
      <c r="C830" s="15"/>
    </row>
    <row r="831" spans="3:3" x14ac:dyDescent="0.3">
      <c r="C831" s="15"/>
    </row>
    <row r="832" spans="3:3" x14ac:dyDescent="0.3">
      <c r="C832" s="15"/>
    </row>
    <row r="833" spans="3:3" x14ac:dyDescent="0.3">
      <c r="C833" s="15"/>
    </row>
    <row r="834" spans="3:3" x14ac:dyDescent="0.3">
      <c r="C834" s="15"/>
    </row>
    <row r="835" spans="3:3" x14ac:dyDescent="0.3">
      <c r="C835" s="15"/>
    </row>
    <row r="836" spans="3:3" x14ac:dyDescent="0.3">
      <c r="C836" s="15"/>
    </row>
    <row r="837" spans="3:3" x14ac:dyDescent="0.3">
      <c r="C837" s="15"/>
    </row>
    <row r="838" spans="3:3" x14ac:dyDescent="0.3">
      <c r="C838" s="15"/>
    </row>
    <row r="839" spans="3:3" x14ac:dyDescent="0.3">
      <c r="C839" s="15"/>
    </row>
    <row r="840" spans="3:3" x14ac:dyDescent="0.3">
      <c r="C840" s="15"/>
    </row>
    <row r="841" spans="3:3" x14ac:dyDescent="0.3">
      <c r="C841" s="15"/>
    </row>
    <row r="842" spans="3:3" x14ac:dyDescent="0.3">
      <c r="C842" s="15"/>
    </row>
    <row r="843" spans="3:3" x14ac:dyDescent="0.3">
      <c r="C843" s="15"/>
    </row>
    <row r="844" spans="3:3" x14ac:dyDescent="0.3">
      <c r="C844" s="15"/>
    </row>
    <row r="845" spans="3:3" x14ac:dyDescent="0.3">
      <c r="C845" s="15"/>
    </row>
    <row r="846" spans="3:3" x14ac:dyDescent="0.3">
      <c r="C846" s="15"/>
    </row>
    <row r="847" spans="3:3" x14ac:dyDescent="0.3">
      <c r="C847" s="15"/>
    </row>
    <row r="848" spans="3:3" x14ac:dyDescent="0.3">
      <c r="C848" s="15"/>
    </row>
    <row r="849" spans="3:3" x14ac:dyDescent="0.3">
      <c r="C849" s="15"/>
    </row>
    <row r="850" spans="3:3" x14ac:dyDescent="0.3">
      <c r="C850" s="15"/>
    </row>
    <row r="851" spans="3:3" x14ac:dyDescent="0.3">
      <c r="C851" s="15"/>
    </row>
    <row r="852" spans="3:3" x14ac:dyDescent="0.3">
      <c r="C852" s="15"/>
    </row>
    <row r="853" spans="3:3" x14ac:dyDescent="0.3">
      <c r="C853" s="15"/>
    </row>
    <row r="854" spans="3:3" x14ac:dyDescent="0.3">
      <c r="C854" s="15"/>
    </row>
    <row r="855" spans="3:3" x14ac:dyDescent="0.3">
      <c r="C855" s="15"/>
    </row>
    <row r="856" spans="3:3" x14ac:dyDescent="0.3">
      <c r="C856" s="15"/>
    </row>
    <row r="857" spans="3:3" x14ac:dyDescent="0.3">
      <c r="C857" s="15"/>
    </row>
    <row r="858" spans="3:3" x14ac:dyDescent="0.3">
      <c r="C858" s="15"/>
    </row>
    <row r="859" spans="3:3" x14ac:dyDescent="0.3">
      <c r="C859" s="15"/>
    </row>
    <row r="860" spans="3:3" x14ac:dyDescent="0.3">
      <c r="C860" s="15"/>
    </row>
    <row r="861" spans="3:3" x14ac:dyDescent="0.3">
      <c r="C861" s="15"/>
    </row>
    <row r="862" spans="3:3" x14ac:dyDescent="0.3">
      <c r="C862" s="15"/>
    </row>
    <row r="863" spans="3:3" x14ac:dyDescent="0.3">
      <c r="C863" s="15"/>
    </row>
    <row r="864" spans="3:3" x14ac:dyDescent="0.3">
      <c r="C864" s="15"/>
    </row>
    <row r="865" spans="3:3" x14ac:dyDescent="0.3">
      <c r="C865" s="15"/>
    </row>
    <row r="866" spans="3:3" x14ac:dyDescent="0.3">
      <c r="C866" s="15"/>
    </row>
    <row r="867" spans="3:3" x14ac:dyDescent="0.3">
      <c r="C867" s="15"/>
    </row>
    <row r="868" spans="3:3" x14ac:dyDescent="0.3">
      <c r="C868" s="15"/>
    </row>
    <row r="869" spans="3:3" x14ac:dyDescent="0.3">
      <c r="C869" s="15"/>
    </row>
    <row r="870" spans="3:3" x14ac:dyDescent="0.3">
      <c r="C870" s="15"/>
    </row>
    <row r="871" spans="3:3" x14ac:dyDescent="0.3">
      <c r="C871" s="15"/>
    </row>
    <row r="872" spans="3:3" x14ac:dyDescent="0.3">
      <c r="C872" s="15"/>
    </row>
    <row r="873" spans="3:3" x14ac:dyDescent="0.3">
      <c r="C873" s="15"/>
    </row>
    <row r="874" spans="3:3" x14ac:dyDescent="0.3">
      <c r="C874" s="15"/>
    </row>
    <row r="875" spans="3:3" x14ac:dyDescent="0.3">
      <c r="C875" s="15"/>
    </row>
    <row r="876" spans="3:3" x14ac:dyDescent="0.3">
      <c r="C876" s="15"/>
    </row>
    <row r="877" spans="3:3" x14ac:dyDescent="0.3">
      <c r="C877" s="15"/>
    </row>
    <row r="878" spans="3:3" x14ac:dyDescent="0.3">
      <c r="C878" s="15"/>
    </row>
    <row r="879" spans="3:3" x14ac:dyDescent="0.3">
      <c r="C879" s="15"/>
    </row>
    <row r="880" spans="3:3" x14ac:dyDescent="0.3">
      <c r="C880" s="15"/>
    </row>
    <row r="881" spans="3:3" x14ac:dyDescent="0.3">
      <c r="C881" s="15"/>
    </row>
    <row r="882" spans="3:3" x14ac:dyDescent="0.3">
      <c r="C882" s="15"/>
    </row>
    <row r="883" spans="3:3" x14ac:dyDescent="0.3">
      <c r="C883" s="15"/>
    </row>
    <row r="884" spans="3:3" x14ac:dyDescent="0.3">
      <c r="C884" s="15"/>
    </row>
    <row r="885" spans="3:3" x14ac:dyDescent="0.3">
      <c r="C885" s="15"/>
    </row>
    <row r="886" spans="3:3" x14ac:dyDescent="0.3">
      <c r="C886" s="15"/>
    </row>
    <row r="887" spans="3:3" x14ac:dyDescent="0.3">
      <c r="C887" s="15"/>
    </row>
    <row r="888" spans="3:3" x14ac:dyDescent="0.3">
      <c r="C888" s="15"/>
    </row>
    <row r="889" spans="3:3" x14ac:dyDescent="0.3">
      <c r="C889" s="15"/>
    </row>
    <row r="890" spans="3:3" x14ac:dyDescent="0.3">
      <c r="C890" s="15"/>
    </row>
    <row r="891" spans="3:3" x14ac:dyDescent="0.3">
      <c r="C891" s="15"/>
    </row>
    <row r="892" spans="3:3" x14ac:dyDescent="0.3">
      <c r="C892" s="15"/>
    </row>
    <row r="893" spans="3:3" x14ac:dyDescent="0.3">
      <c r="C893" s="15"/>
    </row>
    <row r="894" spans="3:3" x14ac:dyDescent="0.3">
      <c r="C894" s="15"/>
    </row>
    <row r="895" spans="3:3" x14ac:dyDescent="0.3">
      <c r="C895" s="15"/>
    </row>
    <row r="896" spans="3:3" x14ac:dyDescent="0.3">
      <c r="C896" s="15"/>
    </row>
    <row r="897" spans="3:3" x14ac:dyDescent="0.3">
      <c r="C897" s="15"/>
    </row>
    <row r="898" spans="3:3" x14ac:dyDescent="0.3">
      <c r="C898" s="15"/>
    </row>
    <row r="899" spans="3:3" x14ac:dyDescent="0.3">
      <c r="C899" s="15"/>
    </row>
    <row r="900" spans="3:3" x14ac:dyDescent="0.3">
      <c r="C900" s="15"/>
    </row>
    <row r="901" spans="3:3" x14ac:dyDescent="0.3">
      <c r="C901" s="15"/>
    </row>
    <row r="902" spans="3:3" x14ac:dyDescent="0.3">
      <c r="C902" s="15"/>
    </row>
    <row r="903" spans="3:3" x14ac:dyDescent="0.3">
      <c r="C903" s="15"/>
    </row>
    <row r="904" spans="3:3" x14ac:dyDescent="0.3">
      <c r="C904" s="15"/>
    </row>
    <row r="905" spans="3:3" x14ac:dyDescent="0.3">
      <c r="C905" s="15"/>
    </row>
    <row r="906" spans="3:3" x14ac:dyDescent="0.3">
      <c r="C906" s="15"/>
    </row>
    <row r="907" spans="3:3" x14ac:dyDescent="0.3">
      <c r="C907" s="15"/>
    </row>
    <row r="908" spans="3:3" x14ac:dyDescent="0.3">
      <c r="C908" s="15"/>
    </row>
    <row r="909" spans="3:3" x14ac:dyDescent="0.3">
      <c r="C909" s="15"/>
    </row>
    <row r="910" spans="3:3" x14ac:dyDescent="0.3">
      <c r="C910" s="15"/>
    </row>
    <row r="911" spans="3:3" x14ac:dyDescent="0.3">
      <c r="C911" s="15"/>
    </row>
    <row r="912" spans="3:3" x14ac:dyDescent="0.3">
      <c r="C912" s="15"/>
    </row>
    <row r="913" spans="3:3" x14ac:dyDescent="0.3">
      <c r="C913" s="15"/>
    </row>
    <row r="914" spans="3:3" x14ac:dyDescent="0.3">
      <c r="C914" s="15"/>
    </row>
    <row r="915" spans="3:3" x14ac:dyDescent="0.3">
      <c r="C915" s="15"/>
    </row>
    <row r="916" spans="3:3" x14ac:dyDescent="0.3">
      <c r="C916" s="15"/>
    </row>
    <row r="917" spans="3:3" x14ac:dyDescent="0.3">
      <c r="C917" s="15"/>
    </row>
    <row r="918" spans="3:3" x14ac:dyDescent="0.3">
      <c r="C918" s="15"/>
    </row>
    <row r="919" spans="3:3" x14ac:dyDescent="0.3">
      <c r="C919" s="15"/>
    </row>
    <row r="920" spans="3:3" x14ac:dyDescent="0.3">
      <c r="C920" s="15"/>
    </row>
    <row r="921" spans="3:3" x14ac:dyDescent="0.3">
      <c r="C921" s="15"/>
    </row>
    <row r="922" spans="3:3" x14ac:dyDescent="0.3">
      <c r="C922" s="15"/>
    </row>
    <row r="923" spans="3:3" x14ac:dyDescent="0.3">
      <c r="C923" s="15"/>
    </row>
    <row r="924" spans="3:3" x14ac:dyDescent="0.3">
      <c r="C924" s="15"/>
    </row>
    <row r="925" spans="3:3" x14ac:dyDescent="0.3">
      <c r="C925" s="15"/>
    </row>
    <row r="926" spans="3:3" x14ac:dyDescent="0.3">
      <c r="C926" s="15"/>
    </row>
    <row r="927" spans="3:3" x14ac:dyDescent="0.3">
      <c r="C927" s="15"/>
    </row>
    <row r="928" spans="3:3" x14ac:dyDescent="0.3">
      <c r="C928" s="15"/>
    </row>
    <row r="929" spans="3:3" x14ac:dyDescent="0.3">
      <c r="C929" s="15"/>
    </row>
    <row r="930" spans="3:3" x14ac:dyDescent="0.3">
      <c r="C930" s="15"/>
    </row>
    <row r="931" spans="3:3" x14ac:dyDescent="0.3">
      <c r="C931" s="15"/>
    </row>
    <row r="932" spans="3:3" x14ac:dyDescent="0.3">
      <c r="C932" s="15"/>
    </row>
    <row r="933" spans="3:3" x14ac:dyDescent="0.3">
      <c r="C933" s="15"/>
    </row>
    <row r="934" spans="3:3" x14ac:dyDescent="0.3">
      <c r="C934" s="15"/>
    </row>
    <row r="935" spans="3:3" x14ac:dyDescent="0.3">
      <c r="C935" s="15"/>
    </row>
    <row r="936" spans="3:3" x14ac:dyDescent="0.3">
      <c r="C936" s="15"/>
    </row>
    <row r="937" spans="3:3" x14ac:dyDescent="0.3">
      <c r="C937" s="15"/>
    </row>
    <row r="938" spans="3:3" x14ac:dyDescent="0.3">
      <c r="C938" s="15"/>
    </row>
    <row r="939" spans="3:3" x14ac:dyDescent="0.3">
      <c r="C939" s="15"/>
    </row>
    <row r="940" spans="3:3" x14ac:dyDescent="0.3">
      <c r="C940" s="15"/>
    </row>
    <row r="941" spans="3:3" x14ac:dyDescent="0.3">
      <c r="C941" s="15"/>
    </row>
    <row r="942" spans="3:3" x14ac:dyDescent="0.3">
      <c r="C942" s="15"/>
    </row>
    <row r="943" spans="3:3" x14ac:dyDescent="0.3">
      <c r="C943" s="15"/>
    </row>
    <row r="944" spans="3:3" x14ac:dyDescent="0.3">
      <c r="C944" s="15"/>
    </row>
    <row r="945" spans="3:3" x14ac:dyDescent="0.3">
      <c r="C945" s="15"/>
    </row>
    <row r="946" spans="3:3" x14ac:dyDescent="0.3">
      <c r="C946" s="15"/>
    </row>
    <row r="947" spans="3:3" x14ac:dyDescent="0.3">
      <c r="C947" s="15"/>
    </row>
    <row r="948" spans="3:3" x14ac:dyDescent="0.3">
      <c r="C948" s="15"/>
    </row>
    <row r="949" spans="3:3" x14ac:dyDescent="0.3">
      <c r="C949" s="15"/>
    </row>
    <row r="950" spans="3:3" x14ac:dyDescent="0.3">
      <c r="C950" s="15"/>
    </row>
    <row r="951" spans="3:3" x14ac:dyDescent="0.3">
      <c r="C951" s="15"/>
    </row>
    <row r="952" spans="3:3" x14ac:dyDescent="0.3">
      <c r="C952" s="15"/>
    </row>
    <row r="953" spans="3:3" x14ac:dyDescent="0.3">
      <c r="C953" s="15"/>
    </row>
    <row r="954" spans="3:3" x14ac:dyDescent="0.3">
      <c r="C954" s="15"/>
    </row>
    <row r="955" spans="3:3" x14ac:dyDescent="0.3">
      <c r="C955" s="15"/>
    </row>
    <row r="956" spans="3:3" x14ac:dyDescent="0.3">
      <c r="C956" s="15"/>
    </row>
    <row r="957" spans="3:3" x14ac:dyDescent="0.3">
      <c r="C957" s="15"/>
    </row>
    <row r="958" spans="3:3" x14ac:dyDescent="0.3">
      <c r="C958" s="15"/>
    </row>
    <row r="959" spans="3:3" x14ac:dyDescent="0.3">
      <c r="C959" s="15"/>
    </row>
    <row r="960" spans="3:3" x14ac:dyDescent="0.3">
      <c r="C960" s="15"/>
    </row>
    <row r="961" spans="3:3" x14ac:dyDescent="0.3">
      <c r="C961" s="15"/>
    </row>
    <row r="962" spans="3:3" x14ac:dyDescent="0.3">
      <c r="C962" s="15"/>
    </row>
    <row r="963" spans="3:3" x14ac:dyDescent="0.3">
      <c r="C963" s="15"/>
    </row>
    <row r="964" spans="3:3" x14ac:dyDescent="0.3">
      <c r="C964" s="15"/>
    </row>
    <row r="965" spans="3:3" x14ac:dyDescent="0.3">
      <c r="C965" s="15"/>
    </row>
    <row r="966" spans="3:3" x14ac:dyDescent="0.3">
      <c r="C966" s="15"/>
    </row>
    <row r="967" spans="3:3" x14ac:dyDescent="0.3">
      <c r="C967" s="15"/>
    </row>
    <row r="968" spans="3:3" x14ac:dyDescent="0.3">
      <c r="C968" s="15"/>
    </row>
    <row r="969" spans="3:3" x14ac:dyDescent="0.3">
      <c r="C969" s="15"/>
    </row>
    <row r="970" spans="3:3" x14ac:dyDescent="0.3">
      <c r="C970" s="15"/>
    </row>
    <row r="971" spans="3:3" x14ac:dyDescent="0.3">
      <c r="C971" s="15"/>
    </row>
    <row r="972" spans="3:3" x14ac:dyDescent="0.3">
      <c r="C972" s="15"/>
    </row>
    <row r="973" spans="3:3" x14ac:dyDescent="0.3">
      <c r="C973" s="15"/>
    </row>
    <row r="974" spans="3:3" x14ac:dyDescent="0.3">
      <c r="C974" s="15"/>
    </row>
    <row r="975" spans="3:3" x14ac:dyDescent="0.3">
      <c r="C975" s="15"/>
    </row>
    <row r="976" spans="3:3" x14ac:dyDescent="0.3">
      <c r="C976" s="15"/>
    </row>
    <row r="977" spans="3:3" x14ac:dyDescent="0.3">
      <c r="C977" s="15"/>
    </row>
    <row r="978" spans="3:3" x14ac:dyDescent="0.3">
      <c r="C978" s="15"/>
    </row>
    <row r="979" spans="3:3" x14ac:dyDescent="0.3">
      <c r="C979" s="15"/>
    </row>
    <row r="980" spans="3:3" x14ac:dyDescent="0.3">
      <c r="C980" s="15"/>
    </row>
    <row r="981" spans="3:3" x14ac:dyDescent="0.3">
      <c r="C981" s="15"/>
    </row>
    <row r="982" spans="3:3" x14ac:dyDescent="0.3">
      <c r="C982" s="15"/>
    </row>
    <row r="983" spans="3:3" x14ac:dyDescent="0.3">
      <c r="C983" s="15"/>
    </row>
    <row r="984" spans="3:3" x14ac:dyDescent="0.3">
      <c r="C984" s="15"/>
    </row>
    <row r="985" spans="3:3" x14ac:dyDescent="0.3">
      <c r="C985" s="15"/>
    </row>
    <row r="986" spans="3:3" x14ac:dyDescent="0.3">
      <c r="C986" s="15"/>
    </row>
    <row r="987" spans="3:3" x14ac:dyDescent="0.3">
      <c r="C987" s="15"/>
    </row>
    <row r="988" spans="3:3" x14ac:dyDescent="0.3">
      <c r="C988" s="15"/>
    </row>
    <row r="989" spans="3:3" x14ac:dyDescent="0.3">
      <c r="C989" s="15"/>
    </row>
    <row r="990" spans="3:3" x14ac:dyDescent="0.3">
      <c r="C990" s="15"/>
    </row>
    <row r="991" spans="3:3" x14ac:dyDescent="0.3">
      <c r="C991" s="15"/>
    </row>
    <row r="992" spans="3:3" x14ac:dyDescent="0.3">
      <c r="C992" s="15"/>
    </row>
    <row r="993" spans="3:3" x14ac:dyDescent="0.3">
      <c r="C993" s="15"/>
    </row>
    <row r="994" spans="3:3" x14ac:dyDescent="0.3">
      <c r="C994" s="15"/>
    </row>
    <row r="995" spans="3:3" x14ac:dyDescent="0.3">
      <c r="C995" s="15"/>
    </row>
    <row r="996" spans="3:3" x14ac:dyDescent="0.3">
      <c r="C996" s="15"/>
    </row>
    <row r="997" spans="3:3" x14ac:dyDescent="0.3">
      <c r="C997" s="15"/>
    </row>
    <row r="998" spans="3:3" x14ac:dyDescent="0.3">
      <c r="C998" s="15"/>
    </row>
    <row r="999" spans="3:3" x14ac:dyDescent="0.3">
      <c r="C999" s="15"/>
    </row>
    <row r="1000" spans="3:3" ht="15" thickBot="1" x14ac:dyDescent="0.35">
      <c r="C1000" s="16"/>
    </row>
  </sheetData>
  <sheetProtection selectLockedCells="1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27"/>
  <sheetViews>
    <sheetView tabSelected="1" zoomScale="90" zoomScaleNormal="90" workbookViewId="0">
      <selection activeCell="L10" sqref="L10"/>
    </sheetView>
  </sheetViews>
  <sheetFormatPr defaultRowHeight="14.4" x14ac:dyDescent="0.3"/>
  <cols>
    <col min="1" max="1" width="5.33203125" style="5" bestFit="1" customWidth="1"/>
    <col min="2" max="2" width="11.33203125" style="5" bestFit="1" customWidth="1"/>
    <col min="3" max="3" width="17.88671875" style="5" customWidth="1"/>
    <col min="4" max="4" width="15.6640625" style="5" customWidth="1"/>
    <col min="5" max="5" width="23.77734375" style="5" customWidth="1"/>
    <col min="6" max="6" width="17.21875" style="5" customWidth="1"/>
    <col min="7" max="7" width="23.77734375" style="5" bestFit="1" customWidth="1"/>
    <col min="8" max="8" width="21.5546875" style="5" bestFit="1" customWidth="1"/>
    <col min="9" max="9" width="2.5546875" style="2" customWidth="1"/>
    <col min="10" max="10" width="2.21875" style="2" customWidth="1"/>
    <col min="11" max="11" width="21.5546875" style="2" bestFit="1" customWidth="1"/>
    <col min="12" max="12" width="13.88671875" style="2" customWidth="1"/>
    <col min="13" max="13" width="15.5546875" style="2" customWidth="1"/>
    <col min="14" max="14" width="13.88671875" style="2" customWidth="1"/>
    <col min="15" max="15" width="15.5546875" style="2" customWidth="1"/>
    <col min="16" max="16" width="13.88671875" style="3" customWidth="1"/>
    <col min="17" max="17" width="15.5546875" style="3" customWidth="1"/>
    <col min="18" max="18" width="13.88671875" style="3" customWidth="1"/>
    <col min="19" max="19" width="15.5546875" style="3" customWidth="1"/>
    <col min="20" max="20" width="13.88671875" style="3" customWidth="1"/>
    <col min="21" max="21" width="15.5546875" style="3" customWidth="1"/>
    <col min="22" max="22" width="13.88671875" style="3" customWidth="1"/>
    <col min="23" max="23" width="15.5546875" style="3" customWidth="1"/>
    <col min="24" max="24" width="13.88671875" style="3" customWidth="1"/>
    <col min="25" max="25" width="15.5546875" style="3" customWidth="1"/>
    <col min="26" max="26" width="13.88671875" style="3" customWidth="1"/>
    <col min="27" max="27" width="15.5546875" style="3" customWidth="1"/>
    <col min="28" max="28" width="13.88671875" style="3" customWidth="1"/>
    <col min="29" max="29" width="15.44140625" style="3" customWidth="1"/>
    <col min="30" max="30" width="13.77734375" style="3" customWidth="1"/>
    <col min="31" max="31" width="15.44140625" style="3" customWidth="1"/>
    <col min="32" max="32" width="13.77734375" style="3" customWidth="1"/>
    <col min="33" max="33" width="15.44140625" style="3" customWidth="1"/>
    <col min="34" max="34" width="13.77734375" style="3" customWidth="1"/>
    <col min="35" max="35" width="15.44140625" style="3" customWidth="1"/>
    <col min="36" max="36" width="13.77734375" style="3" customWidth="1"/>
    <col min="37" max="37" width="15.44140625" style="3" customWidth="1"/>
    <col min="38" max="38" width="13.77734375" style="3" customWidth="1"/>
    <col min="39" max="39" width="15.44140625" style="3" customWidth="1"/>
    <col min="40" max="40" width="13.77734375" style="3" customWidth="1"/>
    <col min="41" max="41" width="15.44140625" style="3" customWidth="1"/>
    <col min="42" max="42" width="13.77734375" style="3" customWidth="1"/>
    <col min="43" max="43" width="15.44140625" style="3" customWidth="1"/>
    <col min="44" max="44" width="13.77734375" style="3" customWidth="1"/>
    <col min="45" max="45" width="15.44140625" style="3" customWidth="1"/>
    <col min="46" max="46" width="13.77734375" style="3" customWidth="1"/>
    <col min="47" max="47" width="15.44140625" style="3" customWidth="1"/>
    <col min="48" max="48" width="13.77734375" style="3" customWidth="1"/>
    <col min="49" max="49" width="15.44140625" style="3" customWidth="1"/>
    <col min="50" max="50" width="13.77734375" style="3" customWidth="1"/>
    <col min="51" max="51" width="15.44140625" style="3" customWidth="1"/>
    <col min="52" max="52" width="13.77734375" style="3" customWidth="1"/>
    <col min="53" max="53" width="15.44140625" style="3" customWidth="1"/>
    <col min="54" max="54" width="13.77734375" style="3" customWidth="1"/>
    <col min="55" max="55" width="15.44140625" style="3" customWidth="1"/>
    <col min="56" max="56" width="13.77734375" style="3" customWidth="1"/>
    <col min="57" max="57" width="15.44140625" style="3" customWidth="1"/>
    <col min="58" max="58" width="13.77734375" style="3" customWidth="1"/>
    <col min="59" max="59" width="15.44140625" style="3" customWidth="1"/>
    <col min="60" max="60" width="13.77734375" style="3" customWidth="1"/>
    <col min="61" max="61" width="15.44140625" style="3" customWidth="1"/>
    <col min="62" max="62" width="13.77734375" style="3" customWidth="1"/>
    <col min="63" max="64" width="0" style="3" hidden="1" customWidth="1"/>
    <col min="65" max="65" width="4" style="3" customWidth="1"/>
    <col min="66" max="66" width="21.44140625" style="3" customWidth="1"/>
    <col min="67" max="67" width="15.44140625" style="3" customWidth="1"/>
    <col min="68" max="68" width="13.77734375" style="3" customWidth="1"/>
    <col min="69" max="69" width="15.44140625" style="3" customWidth="1"/>
    <col min="70" max="70" width="13.77734375" style="3" customWidth="1"/>
    <col min="71" max="71" width="15.44140625" style="3" customWidth="1"/>
    <col min="72" max="72" width="13.77734375" style="3" customWidth="1"/>
    <col min="73" max="73" width="15.44140625" style="3" customWidth="1"/>
    <col min="74" max="74" width="13.77734375" style="3" customWidth="1"/>
    <col min="75" max="75" width="15.44140625" style="3" customWidth="1"/>
    <col min="76" max="76" width="13.77734375" style="3" customWidth="1"/>
    <col min="77" max="77" width="15.44140625" style="3" customWidth="1"/>
    <col min="78" max="78" width="13.77734375" style="3" customWidth="1"/>
    <col min="79" max="79" width="15.44140625" style="3" customWidth="1"/>
    <col min="80" max="80" width="13.77734375" style="3" customWidth="1"/>
    <col min="81" max="81" width="15.44140625" style="3" customWidth="1"/>
    <col min="82" max="82" width="13.77734375" style="3" customWidth="1"/>
    <col min="83" max="83" width="15.44140625" style="3" customWidth="1"/>
    <col min="84" max="84" width="13.77734375" style="3" customWidth="1"/>
    <col min="85" max="85" width="15.44140625" style="3" customWidth="1"/>
    <col min="86" max="86" width="13.77734375" style="3" customWidth="1"/>
    <col min="87" max="87" width="3.88671875" style="3" customWidth="1"/>
    <col min="88" max="88" width="3.33203125" style="3" customWidth="1"/>
    <col min="89" max="89" width="15.44140625" style="3" customWidth="1"/>
    <col min="90" max="90" width="13.77734375" style="3" customWidth="1"/>
    <col min="91" max="91" width="15.44140625" style="3" customWidth="1"/>
    <col min="92" max="92" width="13.77734375" style="3" customWidth="1"/>
    <col min="93" max="93" width="15.44140625" style="3" customWidth="1"/>
    <col min="94" max="94" width="13.77734375" style="3" customWidth="1"/>
    <col min="95" max="95" width="15.44140625" style="3" customWidth="1"/>
    <col min="96" max="96" width="13.77734375" style="3" customWidth="1"/>
    <col min="97" max="16384" width="8.88671875" style="3"/>
  </cols>
  <sheetData>
    <row r="1" spans="1:14" x14ac:dyDescent="0.3">
      <c r="A1" s="4" t="s">
        <v>2</v>
      </c>
      <c r="B1" s="4" t="s">
        <v>14</v>
      </c>
      <c r="C1" s="4" t="s">
        <v>4</v>
      </c>
      <c r="D1" s="4" t="s">
        <v>5</v>
      </c>
      <c r="E1" s="4" t="s">
        <v>6</v>
      </c>
      <c r="F1" s="4" t="s">
        <v>7</v>
      </c>
      <c r="G1" s="4" t="s">
        <v>15</v>
      </c>
      <c r="H1" s="4" t="s">
        <v>16</v>
      </c>
      <c r="I1" s="6"/>
      <c r="J1" s="6"/>
      <c r="K1" s="6" t="s">
        <v>8</v>
      </c>
      <c r="L1" s="7"/>
      <c r="M1" s="7"/>
      <c r="N1" s="7"/>
    </row>
    <row r="2" spans="1:14" x14ac:dyDescent="0.3">
      <c r="A2" s="5">
        <f>RANK(B2,$B$2:$B$21,1)</f>
        <v>12</v>
      </c>
      <c r="B2" s="1">
        <v>726044</v>
      </c>
      <c r="C2" s="5">
        <f>((A2-0.3)/($K$8+0.4))</f>
        <v>0.57352941176470584</v>
      </c>
      <c r="D2" s="5">
        <f>1/(1-C2)</f>
        <v>2.3448275862068964</v>
      </c>
      <c r="E2" s="5">
        <f>LN(LN(D2))</f>
        <v>-0.15992010326847925</v>
      </c>
      <c r="F2" s="5">
        <f>LN(B2)</f>
        <v>13.495365898031066</v>
      </c>
      <c r="G2" s="5">
        <f>WEIBULL(B2,$K$2,$K$5,TRUE)</f>
        <v>0.66516706529529102</v>
      </c>
      <c r="H2" s="5">
        <f>1-C2</f>
        <v>0.42647058823529416</v>
      </c>
      <c r="I2" s="7"/>
      <c r="J2" s="7"/>
      <c r="K2" s="8">
        <f>SLOPE(y_values,x_values)</f>
        <v>3.3401897507343752</v>
      </c>
      <c r="L2" s="7"/>
      <c r="M2" s="7"/>
      <c r="N2" s="7"/>
    </row>
    <row r="3" spans="1:14" x14ac:dyDescent="0.3">
      <c r="A3" s="5">
        <f t="shared" ref="A3:A21" si="0">RANK(B3,$B$2:$B$21,1)</f>
        <v>9</v>
      </c>
      <c r="B3" s="1">
        <v>615432</v>
      </c>
      <c r="C3" s="5">
        <f t="shared" ref="C3:C21" si="1">((A3-0.3)/($K$8+0.4))</f>
        <v>0.4264705882352941</v>
      </c>
      <c r="D3" s="5">
        <f t="shared" ref="D3:D21" si="2">1/(1-C3)</f>
        <v>1.7435897435897436</v>
      </c>
      <c r="E3" s="5">
        <f t="shared" ref="E3:E21" si="3">LN(LN(D3))</f>
        <v>-0.58708400554140983</v>
      </c>
      <c r="F3" s="5">
        <f t="shared" ref="F3:F21" si="4">LN(B3)</f>
        <v>13.330079739218226</v>
      </c>
      <c r="G3" s="5">
        <f t="shared" ref="G3:G21" si="5">WEIBULL(B3,$K$2,$K$5,TRUE)</f>
        <v>0.46737531054956727</v>
      </c>
      <c r="H3" s="5">
        <f t="shared" ref="H3:H21" si="6">1-C3</f>
        <v>0.57352941176470584</v>
      </c>
      <c r="I3" s="7"/>
      <c r="J3" s="7"/>
      <c r="K3" s="8"/>
      <c r="L3" s="7"/>
      <c r="M3" s="7"/>
      <c r="N3" s="7"/>
    </row>
    <row r="4" spans="1:14" x14ac:dyDescent="0.3">
      <c r="A4" s="5">
        <f t="shared" si="0"/>
        <v>6</v>
      </c>
      <c r="B4" s="1">
        <v>508077</v>
      </c>
      <c r="C4" s="5">
        <f t="shared" si="1"/>
        <v>0.27941176470588236</v>
      </c>
      <c r="D4" s="5">
        <f t="shared" si="2"/>
        <v>1.3877551020408163</v>
      </c>
      <c r="E4" s="5">
        <f t="shared" si="3"/>
        <v>-1.1156951522565817</v>
      </c>
      <c r="F4" s="5">
        <f t="shared" si="4"/>
        <v>13.138388289877469</v>
      </c>
      <c r="G4" s="5">
        <f t="shared" si="5"/>
        <v>0.28256056347508818</v>
      </c>
      <c r="H4" s="5">
        <f t="shared" si="6"/>
        <v>0.72058823529411764</v>
      </c>
      <c r="I4" s="7"/>
      <c r="J4" s="7"/>
      <c r="K4" s="9" t="s">
        <v>9</v>
      </c>
      <c r="L4" s="7"/>
      <c r="M4" s="7"/>
      <c r="N4" s="7"/>
    </row>
    <row r="5" spans="1:14" x14ac:dyDescent="0.3">
      <c r="A5" s="5">
        <f t="shared" si="0"/>
        <v>17</v>
      </c>
      <c r="B5" s="1">
        <v>807863</v>
      </c>
      <c r="C5" s="5">
        <f t="shared" si="1"/>
        <v>0.81862745098039214</v>
      </c>
      <c r="D5" s="5">
        <f t="shared" si="2"/>
        <v>5.5135135135135132</v>
      </c>
      <c r="E5" s="5">
        <f t="shared" si="3"/>
        <v>0.53485582063676906</v>
      </c>
      <c r="F5" s="5">
        <f t="shared" si="4"/>
        <v>13.602147768671806</v>
      </c>
      <c r="G5" s="5">
        <f t="shared" si="5"/>
        <v>0.79049938877825443</v>
      </c>
      <c r="H5" s="5">
        <f t="shared" si="6"/>
        <v>0.18137254901960786</v>
      </c>
      <c r="I5" s="7"/>
      <c r="J5" s="7"/>
      <c r="K5" s="8">
        <f>EXP(-(INTERCEPT(y_values,x_values)/K2))</f>
        <v>706752.06428681174</v>
      </c>
      <c r="L5" s="7"/>
      <c r="M5" s="7"/>
      <c r="N5" s="7"/>
    </row>
    <row r="6" spans="1:14" x14ac:dyDescent="0.3">
      <c r="A6" s="5">
        <f t="shared" si="0"/>
        <v>16</v>
      </c>
      <c r="B6" s="1">
        <v>755223</v>
      </c>
      <c r="C6" s="5">
        <f t="shared" si="1"/>
        <v>0.76960784313725494</v>
      </c>
      <c r="D6" s="5">
        <f t="shared" si="2"/>
        <v>4.3404255319148941</v>
      </c>
      <c r="E6" s="5">
        <f t="shared" si="3"/>
        <v>0.38388212356735901</v>
      </c>
      <c r="F6" s="5">
        <f t="shared" si="4"/>
        <v>13.534768348858144</v>
      </c>
      <c r="G6" s="5">
        <f t="shared" si="5"/>
        <v>0.71292987695754473</v>
      </c>
      <c r="H6" s="5">
        <f t="shared" si="6"/>
        <v>0.23039215686274506</v>
      </c>
      <c r="I6" s="7"/>
      <c r="J6" s="7"/>
      <c r="K6" s="8"/>
      <c r="L6" s="7"/>
      <c r="M6" s="7"/>
      <c r="N6" s="7"/>
    </row>
    <row r="7" spans="1:14" ht="15" thickBot="1" x14ac:dyDescent="0.35">
      <c r="A7" s="5">
        <f t="shared" si="0"/>
        <v>18</v>
      </c>
      <c r="B7" s="1">
        <v>848953</v>
      </c>
      <c r="C7" s="5">
        <f t="shared" si="1"/>
        <v>0.86764705882352944</v>
      </c>
      <c r="D7" s="5">
        <f t="shared" si="2"/>
        <v>7.5555555555555571</v>
      </c>
      <c r="E7" s="5">
        <f t="shared" si="3"/>
        <v>0.70422713445556917</v>
      </c>
      <c r="F7" s="5">
        <f t="shared" si="4"/>
        <v>13.651759104514932</v>
      </c>
      <c r="G7" s="5">
        <f t="shared" si="5"/>
        <v>0.84193308941055633</v>
      </c>
      <c r="H7" s="5">
        <f t="shared" si="6"/>
        <v>0.13235294117647056</v>
      </c>
      <c r="I7" s="7"/>
      <c r="J7" s="7"/>
      <c r="K7" s="9" t="s">
        <v>10</v>
      </c>
      <c r="L7" s="7"/>
      <c r="M7" s="7"/>
      <c r="N7" s="7"/>
    </row>
    <row r="8" spans="1:14" ht="15" thickBot="1" x14ac:dyDescent="0.35">
      <c r="A8" s="5">
        <f t="shared" si="0"/>
        <v>3</v>
      </c>
      <c r="B8" s="1">
        <v>384558</v>
      </c>
      <c r="C8" s="5">
        <f t="shared" si="1"/>
        <v>0.13235294117647062</v>
      </c>
      <c r="D8" s="5">
        <f t="shared" si="2"/>
        <v>1.152542372881356</v>
      </c>
      <c r="E8" s="5">
        <f t="shared" si="3"/>
        <v>-1.9521376709872429</v>
      </c>
      <c r="F8" s="5">
        <f t="shared" si="4"/>
        <v>12.859849901805411</v>
      </c>
      <c r="G8" s="5">
        <f t="shared" si="5"/>
        <v>0.12275552106773571</v>
      </c>
      <c r="H8" s="5">
        <f t="shared" si="6"/>
        <v>0.86764705882352944</v>
      </c>
      <c r="I8" s="7"/>
      <c r="J8" s="7"/>
      <c r="K8" s="8">
        <v>20</v>
      </c>
      <c r="L8" s="7"/>
      <c r="M8" s="11" t="s">
        <v>17</v>
      </c>
      <c r="N8" s="7"/>
    </row>
    <row r="9" spans="1:14" ht="15" thickBot="1" x14ac:dyDescent="0.35">
      <c r="A9" s="5">
        <f t="shared" si="0"/>
        <v>11</v>
      </c>
      <c r="B9" s="1">
        <v>666686</v>
      </c>
      <c r="C9" s="5">
        <f t="shared" si="1"/>
        <v>0.52450980392156865</v>
      </c>
      <c r="D9" s="5">
        <f t="shared" si="2"/>
        <v>2.1030927835051547</v>
      </c>
      <c r="E9" s="5">
        <f t="shared" si="3"/>
        <v>-0.29650889401894664</v>
      </c>
      <c r="F9" s="5">
        <f t="shared" si="4"/>
        <v>13.410074449435617</v>
      </c>
      <c r="G9" s="5">
        <f t="shared" si="5"/>
        <v>0.56083819033242954</v>
      </c>
      <c r="H9" s="5">
        <f t="shared" si="6"/>
        <v>0.47549019607843135</v>
      </c>
      <c r="I9" s="7"/>
      <c r="J9" s="7"/>
      <c r="K9" s="9"/>
      <c r="L9" s="6"/>
      <c r="M9" s="6"/>
      <c r="N9" s="7"/>
    </row>
    <row r="10" spans="1:14" ht="15" thickBot="1" x14ac:dyDescent="0.35">
      <c r="A10" s="5">
        <f t="shared" si="0"/>
        <v>7</v>
      </c>
      <c r="B10" s="1">
        <v>515201</v>
      </c>
      <c r="C10" s="5">
        <f t="shared" si="1"/>
        <v>0.32843137254901966</v>
      </c>
      <c r="D10" s="5">
        <f t="shared" si="2"/>
        <v>1.4890510948905111</v>
      </c>
      <c r="E10" s="5">
        <f t="shared" si="3"/>
        <v>-0.92095391760378831</v>
      </c>
      <c r="F10" s="5">
        <f t="shared" si="4"/>
        <v>13.152312394764186</v>
      </c>
      <c r="G10" s="5">
        <f t="shared" si="5"/>
        <v>0.29381332690984197</v>
      </c>
      <c r="H10" s="5">
        <f t="shared" si="6"/>
        <v>0.67156862745098034</v>
      </c>
      <c r="I10" s="7"/>
      <c r="J10" s="7"/>
      <c r="K10" s="9" t="s">
        <v>11</v>
      </c>
      <c r="L10" s="2">
        <v>700000</v>
      </c>
      <c r="M10" s="6" t="s">
        <v>12</v>
      </c>
      <c r="N10" s="11" t="s">
        <v>18</v>
      </c>
    </row>
    <row r="11" spans="1:14" x14ac:dyDescent="0.3">
      <c r="A11" s="5">
        <f t="shared" si="0"/>
        <v>5</v>
      </c>
      <c r="B11" s="1">
        <v>483331</v>
      </c>
      <c r="C11" s="5">
        <f t="shared" si="1"/>
        <v>0.23039215686274511</v>
      </c>
      <c r="D11" s="5">
        <f t="shared" si="2"/>
        <v>1.2993630573248409</v>
      </c>
      <c r="E11" s="5">
        <f t="shared" si="3"/>
        <v>-1.3398910871328429</v>
      </c>
      <c r="F11" s="5">
        <f t="shared" si="4"/>
        <v>13.088456998130788</v>
      </c>
      <c r="G11" s="5">
        <f t="shared" si="5"/>
        <v>0.24501438161568601</v>
      </c>
      <c r="H11" s="5">
        <f t="shared" si="6"/>
        <v>0.76960784313725483</v>
      </c>
      <c r="I11" s="7"/>
      <c r="J11" s="7"/>
      <c r="K11" s="7"/>
      <c r="L11" s="7"/>
      <c r="M11" s="7"/>
      <c r="N11" s="7"/>
    </row>
    <row r="12" spans="1:14" x14ac:dyDescent="0.3">
      <c r="A12" s="5">
        <f t="shared" si="0"/>
        <v>8</v>
      </c>
      <c r="B12" s="1">
        <v>529082</v>
      </c>
      <c r="C12" s="5">
        <f t="shared" si="1"/>
        <v>0.37745098039215691</v>
      </c>
      <c r="D12" s="5">
        <f t="shared" si="2"/>
        <v>1.6062992125984252</v>
      </c>
      <c r="E12" s="5">
        <f t="shared" si="3"/>
        <v>-0.74668951290553132</v>
      </c>
      <c r="F12" s="5">
        <f t="shared" si="4"/>
        <v>13.178898708279508</v>
      </c>
      <c r="G12" s="5">
        <f t="shared" si="5"/>
        <v>0.31626262205843009</v>
      </c>
      <c r="H12" s="5">
        <f t="shared" si="6"/>
        <v>0.62254901960784315</v>
      </c>
      <c r="I12" s="7"/>
      <c r="J12" s="7"/>
      <c r="K12" s="8">
        <f>(2.718^(-((L10/K5)^K2)))*100</f>
        <v>37.971140545679141</v>
      </c>
      <c r="L12" s="7"/>
      <c r="M12" s="7"/>
      <c r="N12" s="7"/>
    </row>
    <row r="13" spans="1:14" x14ac:dyDescent="0.3">
      <c r="A13" s="5">
        <f t="shared" si="0"/>
        <v>13</v>
      </c>
      <c r="B13" s="1">
        <v>729957</v>
      </c>
      <c r="C13" s="5">
        <f t="shared" si="1"/>
        <v>0.62254901960784315</v>
      </c>
      <c r="D13" s="5">
        <f t="shared" si="2"/>
        <v>2.6493506493506493</v>
      </c>
      <c r="E13" s="5">
        <f t="shared" si="3"/>
        <v>-2.6021058293465373E-2</v>
      </c>
      <c r="F13" s="5">
        <f t="shared" si="4"/>
        <v>13.50074090728007</v>
      </c>
      <c r="G13" s="5">
        <f t="shared" si="5"/>
        <v>0.67173838162965038</v>
      </c>
      <c r="H13" s="5">
        <f t="shared" si="6"/>
        <v>0.37745098039215685</v>
      </c>
      <c r="I13" s="7"/>
      <c r="J13" s="7"/>
      <c r="K13" s="7"/>
      <c r="L13" s="7"/>
      <c r="M13" s="7"/>
      <c r="N13" s="7"/>
    </row>
    <row r="14" spans="1:14" x14ac:dyDescent="0.3">
      <c r="A14" s="5">
        <f t="shared" si="0"/>
        <v>10</v>
      </c>
      <c r="B14" s="1">
        <v>650570</v>
      </c>
      <c r="C14" s="5">
        <f t="shared" si="1"/>
        <v>0.47549019607843135</v>
      </c>
      <c r="D14" s="5">
        <f t="shared" si="2"/>
        <v>1.9065420560747663</v>
      </c>
      <c r="E14" s="5">
        <f t="shared" si="3"/>
        <v>-0.43805365414610564</v>
      </c>
      <c r="F14" s="5">
        <f t="shared" si="4"/>
        <v>13.385604180676337</v>
      </c>
      <c r="G14" s="5">
        <f t="shared" si="5"/>
        <v>0.53153959873605749</v>
      </c>
      <c r="H14" s="5">
        <f t="shared" si="6"/>
        <v>0.52450980392156865</v>
      </c>
      <c r="I14" s="7"/>
      <c r="J14" s="7"/>
      <c r="K14" s="7" t="s">
        <v>13</v>
      </c>
      <c r="L14" s="7"/>
      <c r="M14" s="7"/>
      <c r="N14" s="7"/>
    </row>
    <row r="15" spans="1:14" x14ac:dyDescent="0.3">
      <c r="A15" s="5">
        <f t="shared" si="0"/>
        <v>4</v>
      </c>
      <c r="B15" s="1">
        <v>445834</v>
      </c>
      <c r="C15" s="5">
        <f t="shared" si="1"/>
        <v>0.18137254901960786</v>
      </c>
      <c r="D15" s="5">
        <f t="shared" si="2"/>
        <v>1.221556886227545</v>
      </c>
      <c r="E15" s="5">
        <f t="shared" si="3"/>
        <v>-1.6088072042350317</v>
      </c>
      <c r="F15" s="5">
        <f t="shared" si="4"/>
        <v>13.007701964410174</v>
      </c>
      <c r="G15" s="5">
        <f t="shared" si="5"/>
        <v>0.19314332954288199</v>
      </c>
      <c r="H15" s="5">
        <f t="shared" si="6"/>
        <v>0.81862745098039214</v>
      </c>
      <c r="K15" s="7"/>
      <c r="L15" s="7"/>
      <c r="M15" s="7"/>
      <c r="N15" s="7"/>
    </row>
    <row r="16" spans="1:14" x14ac:dyDescent="0.3">
      <c r="A16" s="5">
        <f t="shared" si="0"/>
        <v>2</v>
      </c>
      <c r="B16" s="1">
        <v>343280</v>
      </c>
      <c r="C16" s="5">
        <f t="shared" si="1"/>
        <v>8.3333333333333343E-2</v>
      </c>
      <c r="D16" s="5">
        <f t="shared" si="2"/>
        <v>1.0909090909090911</v>
      </c>
      <c r="E16" s="5">
        <f t="shared" si="3"/>
        <v>-2.4417163988814581</v>
      </c>
      <c r="F16" s="5">
        <f t="shared" si="4"/>
        <v>12.746301719665407</v>
      </c>
      <c r="G16" s="5">
        <f t="shared" si="5"/>
        <v>8.5730790694525202E-2</v>
      </c>
      <c r="H16" s="5">
        <f t="shared" si="6"/>
        <v>0.91666666666666663</v>
      </c>
    </row>
    <row r="17" spans="1:8" x14ac:dyDescent="0.3">
      <c r="A17" s="5">
        <f t="shared" si="0"/>
        <v>19</v>
      </c>
      <c r="B17" s="1">
        <v>959903</v>
      </c>
      <c r="C17" s="5">
        <f t="shared" si="1"/>
        <v>0.91666666666666674</v>
      </c>
      <c r="D17" s="5">
        <f t="shared" si="2"/>
        <v>12.000000000000011</v>
      </c>
      <c r="E17" s="5">
        <f t="shared" si="3"/>
        <v>0.91023509336532638</v>
      </c>
      <c r="F17" s="5">
        <f t="shared" si="4"/>
        <v>13.7745875166723</v>
      </c>
      <c r="G17" s="5">
        <f t="shared" si="5"/>
        <v>0.93798837904704158</v>
      </c>
      <c r="H17" s="5">
        <f t="shared" si="6"/>
        <v>8.3333333333333259E-2</v>
      </c>
    </row>
    <row r="18" spans="1:8" x14ac:dyDescent="0.3">
      <c r="A18" s="5">
        <f t="shared" si="0"/>
        <v>14</v>
      </c>
      <c r="B18" s="1">
        <v>730049</v>
      </c>
      <c r="C18" s="5">
        <f t="shared" si="1"/>
        <v>0.67156862745098045</v>
      </c>
      <c r="D18" s="5">
        <f t="shared" si="2"/>
        <v>3.0447761194029854</v>
      </c>
      <c r="E18" s="5">
        <f t="shared" si="3"/>
        <v>0.10744298282505441</v>
      </c>
      <c r="F18" s="5">
        <f t="shared" si="4"/>
        <v>13.500866934159578</v>
      </c>
      <c r="G18" s="5">
        <f t="shared" si="5"/>
        <v>0.67189230604124006</v>
      </c>
      <c r="H18" s="5">
        <f t="shared" si="6"/>
        <v>0.32843137254901955</v>
      </c>
    </row>
    <row r="19" spans="1:8" x14ac:dyDescent="0.3">
      <c r="A19" s="5">
        <f t="shared" si="0"/>
        <v>15</v>
      </c>
      <c r="B19" s="1">
        <v>730640</v>
      </c>
      <c r="C19" s="5">
        <f t="shared" si="1"/>
        <v>0.72058823529411764</v>
      </c>
      <c r="D19" s="5">
        <f t="shared" si="2"/>
        <v>3.5789473684210527</v>
      </c>
      <c r="E19" s="5">
        <f t="shared" si="3"/>
        <v>0.24300007991036771</v>
      </c>
      <c r="F19" s="5">
        <f t="shared" si="4"/>
        <v>13.501676141365561</v>
      </c>
      <c r="G19" s="5">
        <f t="shared" si="5"/>
        <v>0.67288046286946002</v>
      </c>
      <c r="H19" s="5">
        <f t="shared" si="6"/>
        <v>0.27941176470588236</v>
      </c>
    </row>
    <row r="20" spans="1:8" x14ac:dyDescent="0.3">
      <c r="A20" s="5">
        <f t="shared" si="0"/>
        <v>20</v>
      </c>
      <c r="B20" s="1">
        <v>973224</v>
      </c>
      <c r="C20" s="5">
        <f t="shared" si="1"/>
        <v>0.96568627450980393</v>
      </c>
      <c r="D20" s="5">
        <f t="shared" si="2"/>
        <v>29.142857142857153</v>
      </c>
      <c r="E20" s="5">
        <f t="shared" si="3"/>
        <v>1.2155682697539896</v>
      </c>
      <c r="F20" s="5">
        <f t="shared" si="4"/>
        <v>13.788369550499883</v>
      </c>
      <c r="G20" s="5">
        <f t="shared" si="5"/>
        <v>0.94560165247852701</v>
      </c>
      <c r="H20" s="5">
        <f t="shared" si="6"/>
        <v>3.4313725490196068E-2</v>
      </c>
    </row>
    <row r="21" spans="1:8" x14ac:dyDescent="0.3">
      <c r="A21" s="5">
        <f t="shared" si="0"/>
        <v>1</v>
      </c>
      <c r="B21" s="1">
        <v>258006</v>
      </c>
      <c r="C21" s="5">
        <f t="shared" si="1"/>
        <v>3.4313725490196081E-2</v>
      </c>
      <c r="D21" s="5">
        <f t="shared" si="2"/>
        <v>1.0355329949238579</v>
      </c>
      <c r="E21" s="5">
        <f t="shared" si="3"/>
        <v>-3.3548025094517575</v>
      </c>
      <c r="F21" s="5">
        <f t="shared" si="4"/>
        <v>12.460738119447296</v>
      </c>
      <c r="G21" s="5">
        <f t="shared" si="5"/>
        <v>3.3941553862525009E-2</v>
      </c>
      <c r="H21" s="5">
        <f t="shared" si="6"/>
        <v>0.96568627450980393</v>
      </c>
    </row>
    <row r="22" spans="1:8" x14ac:dyDescent="0.3">
      <c r="B22" s="1"/>
    </row>
    <row r="23" spans="1:8" x14ac:dyDescent="0.3">
      <c r="B23" s="1"/>
    </row>
    <row r="24" spans="1:8" x14ac:dyDescent="0.3">
      <c r="B24" s="1"/>
    </row>
    <row r="25" spans="1:8" x14ac:dyDescent="0.3">
      <c r="B25" s="1"/>
    </row>
    <row r="26" spans="1:8" x14ac:dyDescent="0.3">
      <c r="B26" s="1"/>
    </row>
    <row r="27" spans="1:8" x14ac:dyDescent="0.3">
      <c r="B27" s="1"/>
    </row>
  </sheetData>
  <sheetProtection password="EB08" sheet="1" objects="1" scenarios="1" selectLockedCells="1"/>
  <sortState ref="A2:H21">
    <sortCondition ref="A2"/>
  </sortState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Input Data</vt:lpstr>
      <vt:lpstr>calcs</vt:lpstr>
      <vt:lpstr>x_values</vt:lpstr>
      <vt:lpstr>y_values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</dc:creator>
  <cp:lastModifiedBy>dougmk</cp:lastModifiedBy>
  <dcterms:created xsi:type="dcterms:W3CDTF">2013-06-03T11:26:04Z</dcterms:created>
  <dcterms:modified xsi:type="dcterms:W3CDTF">2013-11-06T04:58:45Z</dcterms:modified>
</cp:coreProperties>
</file>